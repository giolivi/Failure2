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werfvander\Documents\TU Delft\10. New MSc Course\Deterioration\"/>
    </mc:Choice>
  </mc:AlternateContent>
  <bookViews>
    <workbookView xWindow="0" yWindow="0" windowWidth="28800" windowHeight="11580" activeTab="1"/>
  </bookViews>
  <sheets>
    <sheet name="Pipe Descriptions" sheetId="3" r:id="rId1"/>
    <sheet name="Failure Description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7" i="3" l="1"/>
  <c r="E99" i="1" l="1"/>
  <c r="E98" i="1"/>
  <c r="E76" i="1"/>
  <c r="E75" i="1"/>
  <c r="E74" i="1"/>
  <c r="E73" i="1"/>
  <c r="E67" i="1"/>
  <c r="E68" i="1"/>
  <c r="E63" i="1"/>
  <c r="E62" i="1"/>
  <c r="E61" i="1"/>
</calcChain>
</file>

<file path=xl/sharedStrings.xml><?xml version="1.0" encoding="utf-8"?>
<sst xmlns="http://schemas.openxmlformats.org/spreadsheetml/2006/main" count="517" uniqueCount="352">
  <si>
    <t>Description</t>
  </si>
  <si>
    <t>relatie_code</t>
  </si>
  <si>
    <t>Attribute (ENG)</t>
  </si>
  <si>
    <t>Attribute (NL)</t>
  </si>
  <si>
    <t>Relation Code</t>
  </si>
  <si>
    <t>Lettercode of the name of drinking water company which provided the data</t>
  </si>
  <si>
    <t>Attribute Value</t>
  </si>
  <si>
    <t>Attribute Value (NL)</t>
  </si>
  <si>
    <t>Meaning</t>
  </si>
  <si>
    <t>B</t>
  </si>
  <si>
    <t>A</t>
  </si>
  <si>
    <t>C</t>
  </si>
  <si>
    <t>Water company "A"</t>
  </si>
  <si>
    <t>Water company "B"</t>
  </si>
  <si>
    <t>Water company "C"</t>
  </si>
  <si>
    <t>storing_id</t>
  </si>
  <si>
    <t>Failure_event</t>
  </si>
  <si>
    <t>storing_melddatum</t>
  </si>
  <si>
    <t>Failure_date of reporting</t>
  </si>
  <si>
    <t>Date at which the failure event was reported.</t>
  </si>
  <si>
    <t>Storing_medium</t>
  </si>
  <si>
    <t>Failure_medium</t>
  </si>
  <si>
    <t>Selection of the medium being transported. Always drinking water here</t>
  </si>
  <si>
    <t>Storing_material</t>
  </si>
  <si>
    <t>Failure_material</t>
  </si>
  <si>
    <t>Selection of the dominant material of the pipe reported</t>
  </si>
  <si>
    <t>MAT_GG</t>
  </si>
  <si>
    <t>MAT_NG</t>
  </si>
  <si>
    <t>MAT_AC</t>
  </si>
  <si>
    <t>MAT_ST</t>
  </si>
  <si>
    <t>MAT_PVC</t>
  </si>
  <si>
    <t>MAT_PVCV</t>
  </si>
  <si>
    <t>MAT_PE80</t>
  </si>
  <si>
    <t>MAT_PE100</t>
  </si>
  <si>
    <t>MAT_PE100RC</t>
  </si>
  <si>
    <t>MAT_BET</t>
  </si>
  <si>
    <t>MAT_GVK</t>
  </si>
  <si>
    <t>MAT_AND</t>
  </si>
  <si>
    <t>Gray iron</t>
  </si>
  <si>
    <t>Ductile iron</t>
  </si>
  <si>
    <t>Asbestos Cement</t>
  </si>
  <si>
    <t>Steel</t>
  </si>
  <si>
    <t>Polyvinylchloride (PVC)</t>
  </si>
  <si>
    <t>Reinforced PVC</t>
  </si>
  <si>
    <t>MAT_PE_AND</t>
  </si>
  <si>
    <t>Polyethylene, MRS10-value &lt;80 or unknown</t>
  </si>
  <si>
    <t>Polyethylene, MRS10-value 100 (crack resistant)</t>
  </si>
  <si>
    <t>Polyethylene, MRS10-value 100</t>
  </si>
  <si>
    <t>Polyethylene, MRS10-value 80</t>
  </si>
  <si>
    <t>Concrete</t>
  </si>
  <si>
    <t xml:space="preserve">Fibreglass </t>
  </si>
  <si>
    <t>Storing_type</t>
  </si>
  <si>
    <t>Connection Type</t>
  </si>
  <si>
    <t>TYP_RTV_STEEK</t>
  </si>
  <si>
    <t>Flange Connection</t>
  </si>
  <si>
    <t>TYP_FLENS</t>
  </si>
  <si>
    <t>TYP_NRTV_STEEK</t>
  </si>
  <si>
    <t>Sleeve Connection</t>
  </si>
  <si>
    <t>storing_bomen</t>
  </si>
  <si>
    <t>storing_relining</t>
  </si>
  <si>
    <t>storing_relining_jaar</t>
  </si>
  <si>
    <t>storing_kathodische_bescherming</t>
  </si>
  <si>
    <t>storing_pmax</t>
  </si>
  <si>
    <t>storing_pdifference</t>
  </si>
  <si>
    <t>storing_lengte_scheur</t>
  </si>
  <si>
    <t>storing_grond_dekking</t>
  </si>
  <si>
    <t>storing_verkeersdrempels</t>
  </si>
  <si>
    <t>storing_drempelafstand</t>
  </si>
  <si>
    <t>storing_verschijningsvorm</t>
  </si>
  <si>
    <t>storing_bescherminginwendig</t>
  </si>
  <si>
    <t>storing_soortoorzaak</t>
  </si>
  <si>
    <t>storing_oorzaakinternebedrijfsvoering</t>
  </si>
  <si>
    <t>storing_storendobject</t>
  </si>
  <si>
    <t>storing_type_hulpstuk</t>
  </si>
  <si>
    <t>storing_aanlegjaar</t>
  </si>
  <si>
    <t>storing_wanddikte</t>
  </si>
  <si>
    <t>storing_diameter</t>
  </si>
  <si>
    <t>TYP_KLEM</t>
  </si>
  <si>
    <t>TYP_LAS</t>
  </si>
  <si>
    <t>TYP_LMOF</t>
  </si>
  <si>
    <t>TYP_PVCLIJM</t>
  </si>
  <si>
    <t>TYP_AND</t>
  </si>
  <si>
    <t>Other</t>
  </si>
  <si>
    <t>Unknown or other</t>
  </si>
  <si>
    <t>Type of Fitting</t>
  </si>
  <si>
    <t>TYP_AFTAK</t>
  </si>
  <si>
    <t>TYP_BOCHT</t>
  </si>
  <si>
    <t>TYP_VERLOOP</t>
  </si>
  <si>
    <t>Corner</t>
  </si>
  <si>
    <t>Branching fitting (T-junction, A-junction etc)</t>
  </si>
  <si>
    <t>Coupling piece</t>
  </si>
  <si>
    <t>Year of construction</t>
  </si>
  <si>
    <t>Selection of the type of connection in case the 'failure object' = HULP</t>
  </si>
  <si>
    <t>The type of connection, in case the 'failure object' = VERB</t>
  </si>
  <si>
    <t>Year in which the conduit or connection was constructed</t>
  </si>
  <si>
    <t>Diameter</t>
  </si>
  <si>
    <t>Nominal diamater of the pipe in mm</t>
  </si>
  <si>
    <t>Trees</t>
  </si>
  <si>
    <t>Are there trees in a radius of &lt; 2m of the failing object (from the edge of the trunk)</t>
  </si>
  <si>
    <t>BOM_JA</t>
  </si>
  <si>
    <t>Yes</t>
  </si>
  <si>
    <t>BOM_NEE</t>
  </si>
  <si>
    <t>No</t>
  </si>
  <si>
    <t>BOM_ONB</t>
  </si>
  <si>
    <t>Unknown</t>
  </si>
  <si>
    <t>PVC Glue</t>
  </si>
  <si>
    <t>Relining</t>
  </si>
  <si>
    <t>Application of Relining</t>
  </si>
  <si>
    <t>RELIN_NEE</t>
  </si>
  <si>
    <t>RELIN_SPRAY</t>
  </si>
  <si>
    <t>RELIN_SLIP</t>
  </si>
  <si>
    <t>RELIN_CLOS</t>
  </si>
  <si>
    <t>RELIN_CIPP</t>
  </si>
  <si>
    <t>No relining</t>
  </si>
  <si>
    <t xml:space="preserve">Relined using spraytechnique, like epoxy, polyurea or polyurethane </t>
  </si>
  <si>
    <t>Closefit lining with polyethylene pipe tight to the old pipe</t>
  </si>
  <si>
    <t>Sliplining with polyethylene pipe pulled in, loose from the old pipe</t>
  </si>
  <si>
    <t>Relining year</t>
  </si>
  <si>
    <t>Cured-in-place pipe relining</t>
  </si>
  <si>
    <t>Year of the application of the relining (if relined)</t>
  </si>
  <si>
    <t>Cathodic Protection</t>
  </si>
  <si>
    <t>Application of cathodic protection, in the case of metal conduits</t>
  </si>
  <si>
    <t>KB_JA</t>
  </si>
  <si>
    <t>Cathodic Protection Applied</t>
  </si>
  <si>
    <t>KB_NEE</t>
  </si>
  <si>
    <t>No cathodic protection applied</t>
  </si>
  <si>
    <t>KB_ONB</t>
  </si>
  <si>
    <t>Unknown if application of cathodic protection</t>
  </si>
  <si>
    <t>max pressure</t>
  </si>
  <si>
    <t>Pressure Difference</t>
  </si>
  <si>
    <t>Indication of the pressure difference applied to the conduit on an average day (in kPa)</t>
  </si>
  <si>
    <t>indication of the maximum pressure applied to the conduit on an average day (in kPa)</t>
  </si>
  <si>
    <t>Length of tear</t>
  </si>
  <si>
    <t>LENGTE_GRD2</t>
  </si>
  <si>
    <t>&gt; 2.0m</t>
  </si>
  <si>
    <t>LENGTE_0,5T2</t>
  </si>
  <si>
    <t>0.5-2.0m</t>
  </si>
  <si>
    <t>LENGTE_KLD0.5</t>
  </si>
  <si>
    <t>&lt; 0.5m</t>
  </si>
  <si>
    <t>LENGTE_ONB</t>
  </si>
  <si>
    <t>Ground cover</t>
  </si>
  <si>
    <t>Number of meters of ground cover</t>
  </si>
  <si>
    <t>DEK_GRD1,5</t>
  </si>
  <si>
    <t>&gt; 1.5m</t>
  </si>
  <si>
    <t>DEK_0,8T1,5</t>
  </si>
  <si>
    <t>DEK_KLD0,8</t>
  </si>
  <si>
    <t>&lt; 0.8m</t>
  </si>
  <si>
    <t>0.8-1.5m</t>
  </si>
  <si>
    <t>Pressence of a speed bump in the proximity of the failure event</t>
  </si>
  <si>
    <t>DREMP_JA</t>
  </si>
  <si>
    <t>ja</t>
  </si>
  <si>
    <t>DREMP_NEE</t>
  </si>
  <si>
    <t>Nee</t>
  </si>
  <si>
    <t>DREMP_ONB</t>
  </si>
  <si>
    <t>Speed bump</t>
  </si>
  <si>
    <t>Distance to speed bump</t>
  </si>
  <si>
    <t>If storing_verkeersdrempel = 'DREMP_JA', distance to the speed bump</t>
  </si>
  <si>
    <t>DR_GRD5</t>
  </si>
  <si>
    <t>DR_2T5</t>
  </si>
  <si>
    <t>DR_KLD2</t>
  </si>
  <si>
    <t>&lt; 2 m</t>
  </si>
  <si>
    <t>2-5 m</t>
  </si>
  <si>
    <t>&gt; 5m</t>
  </si>
  <si>
    <t>Failure shape</t>
  </si>
  <si>
    <t>Estimation of the length of the tear if the failure shape is 'BUIS_LENGTES'</t>
  </si>
  <si>
    <t>BUIS_LENGTES</t>
  </si>
  <si>
    <t>BUIS_SCHERF</t>
  </si>
  <si>
    <t>BUIS_RONDBR</t>
  </si>
  <si>
    <t>BUIS_PUNTLEK</t>
  </si>
  <si>
    <t>BUIS_AND</t>
  </si>
  <si>
    <t>storing_storendobject= VERB</t>
  </si>
  <si>
    <t>storing_storendobject= BUIS</t>
  </si>
  <si>
    <t>VERB_SCHUIF</t>
  </si>
  <si>
    <t>VERB_AFD</t>
  </si>
  <si>
    <t>VERB_SCHEUR</t>
  </si>
  <si>
    <t>VERB_BOUT</t>
  </si>
  <si>
    <t>VERB_AND</t>
  </si>
  <si>
    <t>VERB_LAS</t>
  </si>
  <si>
    <t>storing_storendobject= HULP</t>
  </si>
  <si>
    <t>HULP_PUNTLEK</t>
  </si>
  <si>
    <t>HULP_SCHEUR</t>
  </si>
  <si>
    <t>HULP_SCHERF</t>
  </si>
  <si>
    <t>HULP_AND</t>
  </si>
  <si>
    <t>Shard</t>
  </si>
  <si>
    <t>Tear</t>
  </si>
  <si>
    <t>Point leakage</t>
  </si>
  <si>
    <t>Welding joint damaged</t>
  </si>
  <si>
    <t>Damage to the bolt</t>
  </si>
  <si>
    <t>Body of joint has a tear</t>
  </si>
  <si>
    <t>Closing material was damaged</t>
  </si>
  <si>
    <t>Connection has been pushed apart</t>
  </si>
  <si>
    <t>Circular break</t>
  </si>
  <si>
    <t>Shard break</t>
  </si>
  <si>
    <t>longitudinal tear</t>
  </si>
  <si>
    <t>Internal Protection</t>
  </si>
  <si>
    <t>If applied, the type of internal protection applied</t>
  </si>
  <si>
    <t>if storing_material = MAT_GG</t>
  </si>
  <si>
    <t>BI_GG_bit</t>
  </si>
  <si>
    <t>BI_GG_CL</t>
  </si>
  <si>
    <t>BI_GG_EP</t>
  </si>
  <si>
    <t>BI_GG_GEEN</t>
  </si>
  <si>
    <t>BI_GG_ONB</t>
  </si>
  <si>
    <t>if storing_materiaal = MAT_NG</t>
  </si>
  <si>
    <t>BI_NG_CL</t>
  </si>
  <si>
    <t>BI_NG_EP</t>
  </si>
  <si>
    <t>BI_NG_GEEN</t>
  </si>
  <si>
    <t>BI_NG_ONB</t>
  </si>
  <si>
    <t>if storing_materiaal = MAT_ST</t>
  </si>
  <si>
    <t>BI_ST_CL</t>
  </si>
  <si>
    <t>BI_ST_BIT</t>
  </si>
  <si>
    <t>BI_ST_EP</t>
  </si>
  <si>
    <t>BI_ST_GEEN</t>
  </si>
  <si>
    <t>BI_ST_ONB</t>
  </si>
  <si>
    <t>Asphalt / Coal tar</t>
  </si>
  <si>
    <t>Epoxy</t>
  </si>
  <si>
    <t>None</t>
  </si>
  <si>
    <t>Cement Lining</t>
  </si>
  <si>
    <t>Cause type</t>
  </si>
  <si>
    <t>The most likely cause of the failure</t>
  </si>
  <si>
    <t>ORZ_SPONTAAN</t>
  </si>
  <si>
    <t>ORZ_EXTERN</t>
  </si>
  <si>
    <t>ORZ_INTERN</t>
  </si>
  <si>
    <t xml:space="preserve">The failure was, provably, caused by a third party </t>
  </si>
  <si>
    <t>The failure was, provably, caused by own operations (including work done by external contractors)</t>
  </si>
  <si>
    <t>Suspected cause for spontanious failure</t>
  </si>
  <si>
    <t>Causation was neither external/internal (provably), therefore spontanious</t>
  </si>
  <si>
    <t>What is the suspected cause if the type of cause was spontaneous (first)</t>
  </si>
  <si>
    <t>ORZ_SPON1_AANT</t>
  </si>
  <si>
    <t>ORZ_SPON1_ONB</t>
  </si>
  <si>
    <t>External pressures like traffic, ground settling, root intrusion, storm etc</t>
  </si>
  <si>
    <t>ORZ_SPON1_UITWBEL</t>
  </si>
  <si>
    <t xml:space="preserve">Corrosion or leaching </t>
  </si>
  <si>
    <t>Suspected cause</t>
  </si>
  <si>
    <t>What is the suspected cause if the type of cause was spontanous (second)</t>
  </si>
  <si>
    <t>ORZ_SPON2_AANT</t>
  </si>
  <si>
    <t>ORZ_SPON2_UITWBEL</t>
  </si>
  <si>
    <t>What is the suspected cause if the type of cause was internal</t>
  </si>
  <si>
    <t>ORZ_INT_AANLEG</t>
  </si>
  <si>
    <t>ORZ_INT_MONTEUR</t>
  </si>
  <si>
    <t>ORZ_INT_DRUK</t>
  </si>
  <si>
    <t>Damage because of operation of pumps (increase pressure, water hammer)</t>
  </si>
  <si>
    <t>Damage done by mechanics or contractors</t>
  </si>
  <si>
    <t>Faulty installation</t>
  </si>
  <si>
    <t>Failing object</t>
  </si>
  <si>
    <t>Part of the ditribution network were the failure was report</t>
  </si>
  <si>
    <t>BUIS</t>
  </si>
  <si>
    <t>VERB</t>
  </si>
  <si>
    <t>REPAR</t>
  </si>
  <si>
    <t>HULP</t>
  </si>
  <si>
    <t>Pipe</t>
  </si>
  <si>
    <t>Repair clamp, manchet</t>
  </si>
  <si>
    <t>Connection between pipes, pipe to fitting</t>
  </si>
  <si>
    <t>Fitting pieces, like corners, t-junctions, a-junctions and extensions</t>
  </si>
  <si>
    <t>Wall thickness</t>
  </si>
  <si>
    <t xml:space="preserve"> - format in dd-mm-yyyy</t>
  </si>
  <si>
    <t>Used as a unique value for each failure event.
"-" means no data</t>
  </si>
  <si>
    <t>The thickness of the wall in mm</t>
  </si>
  <si>
    <t>" - If unknown, value is '-1'"</t>
  </si>
  <si>
    <t xml:space="preserve"> - Numerical value</t>
  </si>
  <si>
    <t xml:space="preserve"> - Values based on hydraulic models, not measurement</t>
  </si>
  <si>
    <t xml:space="preserve"> - If unknown '-1'</t>
  </si>
  <si>
    <t xml:space="preserve"> - Reported by the mechanic</t>
  </si>
  <si>
    <t xml:space="preserve"> - Reported by the mechanic, starting from the top of the pipe</t>
  </si>
  <si>
    <t xml:space="preserve"> - Proximity means around 10m in this case</t>
  </si>
  <si>
    <t>The shape of the failure
- As reported by the mechanic</t>
  </si>
  <si>
    <t xml:space="preserve"> - As indicated by the mechnic</t>
  </si>
  <si>
    <t xml:space="preserve"> - As reported by the mechanic</t>
  </si>
  <si>
    <t>storing_oorzaak2
spontanestoring</t>
  </si>
  <si>
    <t>storing_oorzaak1
spontanestoring</t>
  </si>
  <si>
    <t xml:space="preserve"> - Gives the option of adding a secondary option if suspected multiple reasons</t>
  </si>
  <si>
    <t>Aanlegjaar</t>
  </si>
  <si>
    <t>Year of Construction</t>
  </si>
  <si>
    <t>Year of contruction of the conduit</t>
  </si>
  <si>
    <t xml:space="preserve"> - Numerical Value</t>
  </si>
  <si>
    <t xml:space="preserve"> - If unknown, value of '-1'</t>
  </si>
  <si>
    <t>ID Nummer</t>
  </si>
  <si>
    <t>Lengte</t>
  </si>
  <si>
    <t>Medium</t>
  </si>
  <si>
    <t>Materiaalcode</t>
  </si>
  <si>
    <t>Wanddikte</t>
  </si>
  <si>
    <t>Bescherming uitwendig</t>
  </si>
  <si>
    <t>Relining jaar</t>
  </si>
  <si>
    <t>Unique ID</t>
  </si>
  <si>
    <t>Identifier given to the pipe</t>
  </si>
  <si>
    <t xml:space="preserve"> - "-1" if not specified</t>
  </si>
  <si>
    <t xml:space="preserve"> - numerical value</t>
  </si>
  <si>
    <t>Length</t>
  </si>
  <si>
    <t>Transport Medium</t>
  </si>
  <si>
    <t>The type of liquid that is transported through the pipe</t>
  </si>
  <si>
    <t>The length of the conduit</t>
  </si>
  <si>
    <t>DW</t>
  </si>
  <si>
    <t>NIET-DW</t>
  </si>
  <si>
    <t>Drinking water</t>
  </si>
  <si>
    <t>Non-potable water (i.e. between production locations)</t>
  </si>
  <si>
    <t>Material</t>
  </si>
  <si>
    <t>The material out of which the pipe is made</t>
  </si>
  <si>
    <t xml:space="preserve">Nominal Diameter in mm. </t>
  </si>
  <si>
    <t>If there is a change in diameter, the biggest diameter is reported</t>
  </si>
  <si>
    <t xml:space="preserve"> - Value is numerical, decimals are separated using comma's</t>
  </si>
  <si>
    <t xml:space="preserve"> - If unknown, '-1'</t>
  </si>
  <si>
    <t xml:space="preserve"> - If unknown, value is '-1'</t>
  </si>
  <si>
    <t>Druk (max)</t>
  </si>
  <si>
    <t>Druk (verschil)</t>
  </si>
  <si>
    <t>Max difference in pressure</t>
  </si>
  <si>
    <t>The maximum difference in pressure within one hour that can occur on an average day, in kPa</t>
  </si>
  <si>
    <t xml:space="preserve"> - if unknown '-1'</t>
  </si>
  <si>
    <t>External protection</t>
  </si>
  <si>
    <t>Material description of external protection if applicable to the pipe</t>
  </si>
  <si>
    <t>If Materiaal = MAT_GG</t>
  </si>
  <si>
    <t>BU_GG_BIT</t>
  </si>
  <si>
    <t>BU_GG_PE</t>
  </si>
  <si>
    <t>BU_GG_EPPOL</t>
  </si>
  <si>
    <t>BU_GG_ZI</t>
  </si>
  <si>
    <t>BU_GG_GEEN</t>
  </si>
  <si>
    <t>BU_GG_ONB</t>
  </si>
  <si>
    <t>Bitumen</t>
  </si>
  <si>
    <t>Polyethylene</t>
  </si>
  <si>
    <t>Epoxy / Polyester / Polyurethane</t>
  </si>
  <si>
    <t>Zinc</t>
  </si>
  <si>
    <t>If Materiaal = MAT_NG</t>
  </si>
  <si>
    <t>BU_NG_PE</t>
  </si>
  <si>
    <t>BU_NG_ZI</t>
  </si>
  <si>
    <t>BU_NG_GEEN</t>
  </si>
  <si>
    <t>BU_NG_ONB</t>
  </si>
  <si>
    <t>Zinc or zincconnection (like Blutop)</t>
  </si>
  <si>
    <t>If Materiaal - MAT_AC</t>
  </si>
  <si>
    <t>BU_AC_TEBIT</t>
  </si>
  <si>
    <t>BU_AC_GEEN</t>
  </si>
  <si>
    <t>BU_AC_ONB</t>
  </si>
  <si>
    <t>Tar or bitumen-spray</t>
  </si>
  <si>
    <t>If Material = MAT_ST</t>
  </si>
  <si>
    <t>BU_ST_PE</t>
  </si>
  <si>
    <t>PE</t>
  </si>
  <si>
    <t>BU_ST_BIT</t>
  </si>
  <si>
    <t>BU_ST_EPPOL</t>
  </si>
  <si>
    <t>BU_ST_GEEN</t>
  </si>
  <si>
    <t>BU_ST_ONB</t>
  </si>
  <si>
    <t>Bescherming Inwending</t>
  </si>
  <si>
    <t>Material description of the internal protection if applicable to the pipe</t>
  </si>
  <si>
    <t>BI_GG_BIT</t>
  </si>
  <si>
    <t>Bitumen / coal tar</t>
  </si>
  <si>
    <t>Cement lining</t>
  </si>
  <si>
    <t>Materiaal = MAT_NG</t>
  </si>
  <si>
    <t>Materiaal = MAT_ST</t>
  </si>
  <si>
    <t>Geen</t>
  </si>
  <si>
    <t>Relining Year</t>
  </si>
  <si>
    <r>
      <t xml:space="preserve">Year of the relining application (provided relining </t>
    </r>
    <r>
      <rPr>
        <sz val="11"/>
        <color theme="1"/>
        <rFont val="Calibri"/>
        <family val="2"/>
      </rPr>
      <t>≠ RELIN_NEE)</t>
    </r>
  </si>
  <si>
    <t>Kathodische Bescherming</t>
  </si>
  <si>
    <t>Application of cathodic protection, in the case of metal pipes</t>
  </si>
  <si>
    <t>Unknown if cathodic protection is applied</t>
  </si>
  <si>
    <t>Cathodic protection is applied</t>
  </si>
  <si>
    <t>Cathodic protection is not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</si>
</sst>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/>
    <xf numFmtId="0" fontId="2" fillId="5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5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3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left" vertical="top"/>
    </xf>
    <xf numFmtId="0" fontId="3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activeCell="E21" sqref="E21"/>
    </sheetView>
  </sheetViews>
  <sheetFormatPr defaultRowHeight="14.5" x14ac:dyDescent="0.35"/>
  <cols>
    <col min="1" max="1" width="29.6328125" style="24" customWidth="1"/>
    <col min="2" max="2" width="0.453125" style="21" customWidth="1"/>
    <col min="3" max="3" width="29.6328125" style="22" customWidth="1"/>
    <col min="4" max="4" width="0.453125" style="21" customWidth="1"/>
    <col min="5" max="5" width="37.6328125" style="23" customWidth="1"/>
    <col min="6" max="6" width="0.453125" style="20" customWidth="1"/>
    <col min="7" max="7" width="57.6328125" style="23" customWidth="1"/>
    <col min="8" max="8" width="8.7265625" style="4"/>
  </cols>
  <sheetData>
    <row r="1" spans="1:8" ht="63" customHeight="1" x14ac:dyDescent="0.35">
      <c r="A1" s="17" t="s">
        <v>3</v>
      </c>
      <c r="B1" s="18"/>
      <c r="C1" s="19" t="s">
        <v>2</v>
      </c>
      <c r="D1" s="18"/>
      <c r="E1" s="33" t="s">
        <v>0</v>
      </c>
      <c r="F1" s="33"/>
      <c r="G1" s="33"/>
      <c r="H1" s="5"/>
    </row>
    <row r="2" spans="1:8" s="4" customFormat="1" ht="2" customHeight="1" x14ac:dyDescent="0.35">
      <c r="A2" s="20"/>
      <c r="B2" s="20"/>
      <c r="C2" s="20"/>
      <c r="D2" s="20"/>
      <c r="E2" s="20"/>
      <c r="F2" s="20"/>
      <c r="G2" s="20"/>
    </row>
    <row r="3" spans="1:8" x14ac:dyDescent="0.35">
      <c r="A3" s="28" t="s">
        <v>270</v>
      </c>
      <c r="C3" s="30" t="s">
        <v>271</v>
      </c>
      <c r="E3" s="29" t="s">
        <v>272</v>
      </c>
      <c r="F3" s="29"/>
      <c r="G3" s="29"/>
    </row>
    <row r="4" spans="1:8" x14ac:dyDescent="0.35">
      <c r="A4" s="28"/>
      <c r="C4" s="30"/>
      <c r="E4" s="29" t="s">
        <v>273</v>
      </c>
      <c r="F4" s="29"/>
      <c r="G4" s="29"/>
    </row>
    <row r="5" spans="1:8" x14ac:dyDescent="0.35">
      <c r="A5" s="28"/>
      <c r="C5" s="30"/>
      <c r="E5" s="29" t="s">
        <v>274</v>
      </c>
      <c r="F5" s="29"/>
      <c r="G5" s="29"/>
    </row>
    <row r="6" spans="1:8" x14ac:dyDescent="0.35">
      <c r="A6" s="28"/>
      <c r="C6" s="30"/>
      <c r="E6" s="29"/>
      <c r="F6" s="29"/>
      <c r="G6" s="29"/>
    </row>
    <row r="7" spans="1:8" s="4" customFormat="1" ht="2" customHeight="1" x14ac:dyDescent="0.35">
      <c r="A7" s="20"/>
      <c r="B7" s="20"/>
      <c r="C7" s="20"/>
      <c r="D7" s="20"/>
      <c r="E7" s="20"/>
      <c r="F7" s="20"/>
      <c r="G7" s="20"/>
    </row>
    <row r="8" spans="1:8" x14ac:dyDescent="0.35">
      <c r="A8" s="28" t="s">
        <v>275</v>
      </c>
      <c r="C8" s="30" t="s">
        <v>282</v>
      </c>
      <c r="E8" s="29" t="s">
        <v>283</v>
      </c>
      <c r="F8" s="29"/>
      <c r="G8" s="29"/>
    </row>
    <row r="9" spans="1:8" x14ac:dyDescent="0.35">
      <c r="A9" s="28"/>
      <c r="C9" s="30"/>
      <c r="E9" s="29" t="s">
        <v>284</v>
      </c>
      <c r="F9" s="29"/>
      <c r="G9" s="29"/>
    </row>
    <row r="10" spans="1:8" x14ac:dyDescent="0.35">
      <c r="A10" s="28"/>
      <c r="C10" s="30"/>
      <c r="E10" s="29" t="s">
        <v>285</v>
      </c>
      <c r="F10" s="29"/>
      <c r="G10" s="29"/>
    </row>
    <row r="11" spans="1:8" x14ac:dyDescent="0.35">
      <c r="A11" s="28"/>
      <c r="C11" s="30"/>
      <c r="E11" s="29"/>
      <c r="F11" s="29"/>
      <c r="G11" s="29"/>
    </row>
    <row r="12" spans="1:8" s="4" customFormat="1" ht="2" customHeight="1" x14ac:dyDescent="0.35">
      <c r="A12" s="20"/>
      <c r="B12" s="20"/>
      <c r="C12" s="20"/>
      <c r="D12" s="20"/>
      <c r="E12" s="20"/>
      <c r="F12" s="20"/>
      <c r="G12" s="20"/>
    </row>
    <row r="13" spans="1:8" x14ac:dyDescent="0.35">
      <c r="A13" s="28" t="s">
        <v>276</v>
      </c>
      <c r="C13" s="30" t="s">
        <v>286</v>
      </c>
      <c r="E13" s="29" t="s">
        <v>289</v>
      </c>
      <c r="F13" s="29"/>
      <c r="G13" s="29"/>
    </row>
    <row r="14" spans="1:8" x14ac:dyDescent="0.35">
      <c r="A14" s="28"/>
      <c r="C14" s="30"/>
      <c r="E14" s="29"/>
      <c r="F14" s="29"/>
      <c r="G14" s="29"/>
    </row>
    <row r="15" spans="1:8" s="4" customFormat="1" ht="2" customHeight="1" x14ac:dyDescent="0.35">
      <c r="A15" s="20"/>
      <c r="B15" s="20"/>
      <c r="C15" s="20"/>
      <c r="D15" s="20"/>
      <c r="E15" s="20"/>
      <c r="F15" s="20"/>
      <c r="G15" s="20"/>
    </row>
    <row r="16" spans="1:8" x14ac:dyDescent="0.35">
      <c r="A16" s="28" t="s">
        <v>277</v>
      </c>
      <c r="C16" s="30" t="s">
        <v>287</v>
      </c>
      <c r="E16" s="29" t="s">
        <v>288</v>
      </c>
      <c r="F16" s="29"/>
      <c r="G16" s="29"/>
    </row>
    <row r="17" spans="1:7" s="4" customFormat="1" ht="2" customHeight="1" x14ac:dyDescent="0.35">
      <c r="A17" s="28"/>
      <c r="B17" s="20"/>
      <c r="C17" s="30"/>
      <c r="D17" s="20"/>
      <c r="E17" s="20"/>
      <c r="F17" s="20"/>
      <c r="G17" s="20"/>
    </row>
    <row r="18" spans="1:7" x14ac:dyDescent="0.35">
      <c r="A18" s="28"/>
      <c r="C18" s="30"/>
      <c r="E18" s="25" t="s">
        <v>6</v>
      </c>
      <c r="F18" s="26"/>
      <c r="G18" s="25" t="s">
        <v>8</v>
      </c>
    </row>
    <row r="19" spans="1:7" x14ac:dyDescent="0.35">
      <c r="A19" s="28"/>
      <c r="C19" s="30"/>
      <c r="E19" s="23" t="s">
        <v>290</v>
      </c>
      <c r="G19" s="23" t="s">
        <v>292</v>
      </c>
    </row>
    <row r="20" spans="1:7" x14ac:dyDescent="0.35">
      <c r="A20" s="28"/>
      <c r="C20" s="30"/>
      <c r="E20" s="23" t="s">
        <v>291</v>
      </c>
      <c r="G20" s="23" t="s">
        <v>293</v>
      </c>
    </row>
    <row r="21" spans="1:7" x14ac:dyDescent="0.35">
      <c r="A21" s="28"/>
      <c r="C21" s="30"/>
    </row>
    <row r="22" spans="1:7" s="4" customFormat="1" ht="2" customHeight="1" x14ac:dyDescent="0.35">
      <c r="A22" s="20"/>
      <c r="B22" s="20"/>
      <c r="C22" s="20"/>
      <c r="D22" s="20"/>
      <c r="E22" s="20"/>
      <c r="F22" s="20"/>
      <c r="G22" s="20"/>
    </row>
    <row r="23" spans="1:7" x14ac:dyDescent="0.35">
      <c r="A23" s="28" t="s">
        <v>278</v>
      </c>
      <c r="C23" s="30" t="s">
        <v>294</v>
      </c>
      <c r="E23" s="29" t="s">
        <v>295</v>
      </c>
      <c r="F23" s="29"/>
      <c r="G23" s="29"/>
    </row>
    <row r="24" spans="1:7" s="4" customFormat="1" ht="2" customHeight="1" x14ac:dyDescent="0.35">
      <c r="A24" s="28"/>
      <c r="B24" s="20"/>
      <c r="C24" s="30"/>
      <c r="D24" s="20"/>
      <c r="E24" s="20"/>
      <c r="F24" s="20"/>
      <c r="G24" s="20"/>
    </row>
    <row r="25" spans="1:7" x14ac:dyDescent="0.35">
      <c r="A25" s="28"/>
      <c r="C25" s="30"/>
      <c r="E25" s="25" t="s">
        <v>6</v>
      </c>
      <c r="F25" s="26"/>
      <c r="G25" s="25" t="s">
        <v>8</v>
      </c>
    </row>
    <row r="26" spans="1:7" ht="15.5" x14ac:dyDescent="0.35">
      <c r="A26" s="28"/>
      <c r="C26" s="30"/>
      <c r="E26" s="23" t="s">
        <v>26</v>
      </c>
      <c r="G26" s="10" t="s">
        <v>38</v>
      </c>
    </row>
    <row r="27" spans="1:7" ht="15.5" x14ac:dyDescent="0.35">
      <c r="A27" s="28"/>
      <c r="C27" s="30"/>
      <c r="E27" s="23" t="s">
        <v>27</v>
      </c>
      <c r="G27" s="10" t="s">
        <v>39</v>
      </c>
    </row>
    <row r="28" spans="1:7" ht="15.5" x14ac:dyDescent="0.35">
      <c r="A28" s="28"/>
      <c r="C28" s="30"/>
      <c r="E28" s="23" t="s">
        <v>28</v>
      </c>
      <c r="G28" s="10" t="s">
        <v>40</v>
      </c>
    </row>
    <row r="29" spans="1:7" ht="15.5" x14ac:dyDescent="0.35">
      <c r="A29" s="28"/>
      <c r="C29" s="30"/>
      <c r="E29" s="23" t="s">
        <v>29</v>
      </c>
      <c r="G29" s="10" t="s">
        <v>41</v>
      </c>
    </row>
    <row r="30" spans="1:7" ht="15.5" x14ac:dyDescent="0.35">
      <c r="A30" s="28"/>
      <c r="C30" s="30"/>
      <c r="E30" s="23" t="s">
        <v>30</v>
      </c>
      <c r="G30" s="10" t="s">
        <v>42</v>
      </c>
    </row>
    <row r="31" spans="1:7" ht="15.5" x14ac:dyDescent="0.35">
      <c r="A31" s="28"/>
      <c r="C31" s="30"/>
      <c r="E31" s="23" t="s">
        <v>31</v>
      </c>
      <c r="G31" s="10" t="s">
        <v>43</v>
      </c>
    </row>
    <row r="32" spans="1:7" ht="15.5" x14ac:dyDescent="0.35">
      <c r="A32" s="28"/>
      <c r="C32" s="30"/>
      <c r="E32" s="23" t="s">
        <v>32</v>
      </c>
      <c r="G32" s="10" t="s">
        <v>48</v>
      </c>
    </row>
    <row r="33" spans="1:7" ht="15.5" x14ac:dyDescent="0.35">
      <c r="A33" s="28"/>
      <c r="C33" s="30"/>
      <c r="E33" s="23" t="s">
        <v>34</v>
      </c>
      <c r="G33" s="10" t="s">
        <v>46</v>
      </c>
    </row>
    <row r="34" spans="1:7" ht="15.5" x14ac:dyDescent="0.35">
      <c r="A34" s="28"/>
      <c r="C34" s="30"/>
      <c r="E34" s="23" t="s">
        <v>44</v>
      </c>
      <c r="G34" s="10" t="s">
        <v>45</v>
      </c>
    </row>
    <row r="35" spans="1:7" ht="15.5" x14ac:dyDescent="0.35">
      <c r="A35" s="28"/>
      <c r="C35" s="30"/>
      <c r="E35" s="23" t="s">
        <v>35</v>
      </c>
      <c r="G35" s="10" t="s">
        <v>49</v>
      </c>
    </row>
    <row r="36" spans="1:7" ht="15.5" x14ac:dyDescent="0.35">
      <c r="A36" s="28"/>
      <c r="C36" s="30"/>
      <c r="E36" s="23" t="s">
        <v>36</v>
      </c>
      <c r="G36" s="10" t="s">
        <v>50</v>
      </c>
    </row>
    <row r="37" spans="1:7" ht="15.5" x14ac:dyDescent="0.35">
      <c r="A37" s="28"/>
      <c r="C37" s="30"/>
      <c r="E37" s="23" t="s">
        <v>37</v>
      </c>
      <c r="G37" s="10" t="s">
        <v>83</v>
      </c>
    </row>
    <row r="38" spans="1:7" x14ac:dyDescent="0.35">
      <c r="A38" s="28"/>
      <c r="C38" s="30"/>
    </row>
    <row r="39" spans="1:7" s="4" customFormat="1" ht="2" customHeight="1" x14ac:dyDescent="0.35">
      <c r="A39" s="20"/>
      <c r="B39" s="20"/>
      <c r="C39" s="20"/>
      <c r="D39" s="20"/>
      <c r="E39" s="20"/>
      <c r="F39" s="20"/>
      <c r="G39" s="20"/>
    </row>
    <row r="40" spans="1:7" x14ac:dyDescent="0.35">
      <c r="A40" s="28" t="s">
        <v>95</v>
      </c>
      <c r="C40" s="30" t="s">
        <v>95</v>
      </c>
      <c r="E40" s="29" t="s">
        <v>296</v>
      </c>
      <c r="F40" s="29"/>
      <c r="G40" s="29"/>
    </row>
    <row r="41" spans="1:7" x14ac:dyDescent="0.35">
      <c r="A41" s="28"/>
      <c r="C41" s="30"/>
      <c r="E41" s="29" t="s">
        <v>297</v>
      </c>
      <c r="F41" s="29"/>
      <c r="G41" s="29"/>
    </row>
    <row r="42" spans="1:7" x14ac:dyDescent="0.35">
      <c r="A42" s="28"/>
      <c r="C42" s="30"/>
      <c r="E42" s="29" t="s">
        <v>298</v>
      </c>
      <c r="F42" s="29"/>
      <c r="G42" s="29"/>
    </row>
    <row r="43" spans="1:7" x14ac:dyDescent="0.35">
      <c r="A43" s="28"/>
      <c r="C43" s="30"/>
      <c r="E43" s="29" t="s">
        <v>299</v>
      </c>
      <c r="F43" s="29"/>
      <c r="G43" s="29"/>
    </row>
    <row r="44" spans="1:7" x14ac:dyDescent="0.35">
      <c r="A44" s="28"/>
      <c r="C44" s="30"/>
      <c r="E44" s="29"/>
      <c r="F44" s="29"/>
      <c r="G44" s="29"/>
    </row>
    <row r="45" spans="1:7" s="4" customFormat="1" ht="2" customHeight="1" x14ac:dyDescent="0.35">
      <c r="A45" s="20"/>
      <c r="B45" s="20"/>
      <c r="C45" s="20"/>
      <c r="D45" s="20"/>
      <c r="E45" s="20"/>
      <c r="F45" s="20"/>
      <c r="G45" s="20"/>
    </row>
    <row r="46" spans="1:7" ht="15.5" x14ac:dyDescent="0.35">
      <c r="A46" s="28" t="s">
        <v>279</v>
      </c>
      <c r="C46" s="31" t="s">
        <v>253</v>
      </c>
      <c r="D46" s="6"/>
      <c r="E46" s="32" t="s">
        <v>256</v>
      </c>
      <c r="F46" s="32"/>
      <c r="G46" s="32"/>
    </row>
    <row r="47" spans="1:7" ht="15.5" x14ac:dyDescent="0.35">
      <c r="A47" s="28"/>
      <c r="C47" s="31"/>
      <c r="D47" s="6"/>
      <c r="E47" s="32" t="str">
        <f xml:space="preserve"> " - Numerical, comma used as a decimal indicator"</f>
        <v xml:space="preserve"> - Numerical, comma used as a decimal indicator</v>
      </c>
      <c r="F47" s="32"/>
      <c r="G47" s="32"/>
    </row>
    <row r="48" spans="1:7" ht="15.5" x14ac:dyDescent="0.35">
      <c r="A48" s="28"/>
      <c r="C48" s="31"/>
      <c r="D48" s="6"/>
      <c r="E48" s="32" t="s">
        <v>300</v>
      </c>
      <c r="F48" s="32"/>
      <c r="G48" s="32"/>
    </row>
    <row r="49" spans="1:7" ht="15.5" x14ac:dyDescent="0.35">
      <c r="A49" s="28"/>
      <c r="C49" s="31"/>
      <c r="D49" s="6"/>
      <c r="E49" s="29"/>
      <c r="F49" s="29"/>
      <c r="G49" s="29"/>
    </row>
    <row r="50" spans="1:7" s="4" customFormat="1" ht="2" customHeight="1" x14ac:dyDescent="0.35">
      <c r="A50" s="20"/>
      <c r="B50" s="20"/>
      <c r="C50" s="20"/>
      <c r="D50" s="20"/>
      <c r="E50" s="20"/>
      <c r="F50" s="20"/>
      <c r="G50" s="20"/>
    </row>
    <row r="51" spans="1:7" ht="15.5" x14ac:dyDescent="0.35">
      <c r="A51" s="28" t="s">
        <v>301</v>
      </c>
      <c r="C51" s="31" t="s">
        <v>128</v>
      </c>
      <c r="D51" s="6"/>
      <c r="E51" s="32" t="s">
        <v>131</v>
      </c>
      <c r="F51" s="32"/>
      <c r="G51" s="32"/>
    </row>
    <row r="52" spans="1:7" ht="15.5" x14ac:dyDescent="0.35">
      <c r="A52" s="28"/>
      <c r="C52" s="31"/>
      <c r="D52" s="6"/>
      <c r="E52" s="32" t="s">
        <v>258</v>
      </c>
      <c r="F52" s="32"/>
      <c r="G52" s="32"/>
    </row>
    <row r="53" spans="1:7" ht="15.5" x14ac:dyDescent="0.35">
      <c r="A53" s="28"/>
      <c r="C53" s="31"/>
      <c r="D53" s="6"/>
      <c r="E53" s="32" t="s">
        <v>259</v>
      </c>
      <c r="F53" s="32"/>
      <c r="G53" s="32"/>
    </row>
    <row r="54" spans="1:7" ht="15.5" x14ac:dyDescent="0.35">
      <c r="A54" s="28"/>
      <c r="C54" s="31"/>
      <c r="D54" s="6"/>
      <c r="E54" s="32" t="s">
        <v>260</v>
      </c>
      <c r="F54" s="32"/>
      <c r="G54" s="32"/>
    </row>
    <row r="55" spans="1:7" x14ac:dyDescent="0.35">
      <c r="A55" s="28"/>
      <c r="C55" s="31"/>
      <c r="E55" s="29"/>
      <c r="F55" s="29"/>
      <c r="G55" s="29"/>
    </row>
    <row r="56" spans="1:7" s="4" customFormat="1" ht="2" customHeight="1" x14ac:dyDescent="0.35">
      <c r="A56" s="20"/>
      <c r="B56" s="20"/>
      <c r="C56" s="20"/>
      <c r="D56" s="20"/>
      <c r="E56" s="20"/>
      <c r="F56" s="20"/>
      <c r="G56" s="20"/>
    </row>
    <row r="57" spans="1:7" x14ac:dyDescent="0.35">
      <c r="A57" s="28" t="s">
        <v>302</v>
      </c>
      <c r="C57" s="30" t="s">
        <v>303</v>
      </c>
      <c r="E57" s="29" t="s">
        <v>304</v>
      </c>
      <c r="F57" s="29"/>
      <c r="G57" s="29"/>
    </row>
    <row r="58" spans="1:7" x14ac:dyDescent="0.35">
      <c r="A58" s="28"/>
      <c r="C58" s="30"/>
      <c r="E58" s="29" t="s">
        <v>273</v>
      </c>
      <c r="F58" s="29"/>
      <c r="G58" s="29"/>
    </row>
    <row r="59" spans="1:7" x14ac:dyDescent="0.35">
      <c r="A59" s="28"/>
      <c r="C59" s="30"/>
      <c r="E59" s="29" t="s">
        <v>259</v>
      </c>
      <c r="F59" s="29"/>
      <c r="G59" s="29"/>
    </row>
    <row r="60" spans="1:7" x14ac:dyDescent="0.35">
      <c r="A60" s="28"/>
      <c r="C60" s="30"/>
      <c r="E60" s="29" t="s">
        <v>305</v>
      </c>
      <c r="F60" s="29"/>
      <c r="G60" s="29"/>
    </row>
    <row r="61" spans="1:7" x14ac:dyDescent="0.35">
      <c r="A61" s="28"/>
      <c r="C61" s="30"/>
      <c r="E61" s="29"/>
      <c r="F61" s="29"/>
      <c r="G61" s="29"/>
    </row>
    <row r="62" spans="1:7" s="4" customFormat="1" ht="2" customHeight="1" x14ac:dyDescent="0.35">
      <c r="A62" s="20"/>
      <c r="B62" s="20"/>
      <c r="C62" s="20"/>
      <c r="D62" s="20"/>
      <c r="E62" s="20"/>
      <c r="F62" s="20"/>
      <c r="G62" s="20"/>
    </row>
    <row r="63" spans="1:7" x14ac:dyDescent="0.35">
      <c r="A63" s="28" t="s">
        <v>280</v>
      </c>
      <c r="C63" s="30" t="s">
        <v>306</v>
      </c>
      <c r="E63" s="29" t="s">
        <v>307</v>
      </c>
      <c r="F63" s="29"/>
      <c r="G63" s="29"/>
    </row>
    <row r="64" spans="1:7" s="4" customFormat="1" ht="2" customHeight="1" x14ac:dyDescent="0.35">
      <c r="A64" s="28"/>
      <c r="B64" s="20"/>
      <c r="C64" s="30"/>
      <c r="D64" s="20"/>
      <c r="E64" s="20"/>
      <c r="F64" s="20"/>
      <c r="G64" s="20"/>
    </row>
    <row r="65" spans="1:7" x14ac:dyDescent="0.35">
      <c r="A65" s="28"/>
      <c r="C65" s="30"/>
      <c r="E65" s="25" t="s">
        <v>6</v>
      </c>
      <c r="F65" s="26"/>
      <c r="G65" s="25" t="s">
        <v>8</v>
      </c>
    </row>
    <row r="66" spans="1:7" x14ac:dyDescent="0.35">
      <c r="A66" s="28"/>
      <c r="C66" s="30"/>
      <c r="E66" s="25" t="s">
        <v>308</v>
      </c>
      <c r="F66" s="26"/>
      <c r="G66" s="25"/>
    </row>
    <row r="67" spans="1:7" x14ac:dyDescent="0.35">
      <c r="A67" s="28"/>
      <c r="C67" s="30"/>
      <c r="E67" s="23" t="s">
        <v>309</v>
      </c>
      <c r="G67" s="23" t="s">
        <v>315</v>
      </c>
    </row>
    <row r="68" spans="1:7" x14ac:dyDescent="0.35">
      <c r="A68" s="28"/>
      <c r="C68" s="30"/>
      <c r="E68" s="23" t="s">
        <v>310</v>
      </c>
      <c r="G68" s="23" t="s">
        <v>316</v>
      </c>
    </row>
    <row r="69" spans="1:7" x14ac:dyDescent="0.35">
      <c r="A69" s="28"/>
      <c r="C69" s="30"/>
      <c r="E69" s="23" t="s">
        <v>311</v>
      </c>
      <c r="G69" s="23" t="s">
        <v>317</v>
      </c>
    </row>
    <row r="70" spans="1:7" x14ac:dyDescent="0.35">
      <c r="A70" s="28"/>
      <c r="C70" s="30"/>
      <c r="E70" s="23" t="s">
        <v>312</v>
      </c>
      <c r="G70" s="23" t="s">
        <v>318</v>
      </c>
    </row>
    <row r="71" spans="1:7" x14ac:dyDescent="0.35">
      <c r="A71" s="28"/>
      <c r="C71" s="30"/>
      <c r="E71" s="23" t="s">
        <v>313</v>
      </c>
      <c r="G71" s="23" t="s">
        <v>215</v>
      </c>
    </row>
    <row r="72" spans="1:7" x14ac:dyDescent="0.35">
      <c r="A72" s="28"/>
      <c r="C72" s="30"/>
      <c r="E72" s="23" t="s">
        <v>314</v>
      </c>
      <c r="G72" s="23" t="s">
        <v>104</v>
      </c>
    </row>
    <row r="73" spans="1:7" x14ac:dyDescent="0.35">
      <c r="A73" s="28"/>
      <c r="C73" s="30"/>
    </row>
    <row r="74" spans="1:7" x14ac:dyDescent="0.35">
      <c r="A74" s="28"/>
      <c r="C74" s="30"/>
      <c r="E74" s="25" t="s">
        <v>319</v>
      </c>
    </row>
    <row r="75" spans="1:7" x14ac:dyDescent="0.35">
      <c r="A75" s="28"/>
      <c r="C75" s="30"/>
      <c r="E75" s="23" t="s">
        <v>320</v>
      </c>
      <c r="G75" s="23" t="s">
        <v>316</v>
      </c>
    </row>
    <row r="76" spans="1:7" x14ac:dyDescent="0.35">
      <c r="A76" s="28"/>
      <c r="C76" s="30"/>
      <c r="E76" s="23" t="s">
        <v>321</v>
      </c>
      <c r="G76" s="23" t="s">
        <v>324</v>
      </c>
    </row>
    <row r="77" spans="1:7" x14ac:dyDescent="0.35">
      <c r="A77" s="28"/>
      <c r="C77" s="30"/>
      <c r="E77" s="23" t="s">
        <v>322</v>
      </c>
      <c r="G77" s="23" t="s">
        <v>215</v>
      </c>
    </row>
    <row r="78" spans="1:7" x14ac:dyDescent="0.35">
      <c r="A78" s="28"/>
      <c r="C78" s="30"/>
      <c r="E78" s="23" t="s">
        <v>323</v>
      </c>
      <c r="G78" s="23" t="s">
        <v>104</v>
      </c>
    </row>
    <row r="79" spans="1:7" x14ac:dyDescent="0.35">
      <c r="A79" s="28"/>
      <c r="C79" s="30"/>
    </row>
    <row r="80" spans="1:7" x14ac:dyDescent="0.35">
      <c r="A80" s="28"/>
      <c r="C80" s="30"/>
      <c r="E80" s="25" t="s">
        <v>325</v>
      </c>
    </row>
    <row r="81" spans="1:7" x14ac:dyDescent="0.35">
      <c r="A81" s="28"/>
      <c r="C81" s="30"/>
      <c r="E81" s="23" t="s">
        <v>326</v>
      </c>
      <c r="G81" s="23" t="s">
        <v>329</v>
      </c>
    </row>
    <row r="82" spans="1:7" x14ac:dyDescent="0.35">
      <c r="A82" s="28"/>
      <c r="C82" s="30"/>
      <c r="E82" s="23" t="s">
        <v>327</v>
      </c>
      <c r="G82" s="23" t="s">
        <v>215</v>
      </c>
    </row>
    <row r="83" spans="1:7" x14ac:dyDescent="0.35">
      <c r="A83" s="28"/>
      <c r="C83" s="30"/>
      <c r="E83" s="23" t="s">
        <v>328</v>
      </c>
      <c r="G83" s="23" t="s">
        <v>104</v>
      </c>
    </row>
    <row r="84" spans="1:7" x14ac:dyDescent="0.35">
      <c r="A84" s="28"/>
      <c r="C84" s="30"/>
    </row>
    <row r="85" spans="1:7" x14ac:dyDescent="0.35">
      <c r="A85" s="28"/>
      <c r="C85" s="30"/>
      <c r="E85" s="25" t="s">
        <v>330</v>
      </c>
    </row>
    <row r="86" spans="1:7" x14ac:dyDescent="0.35">
      <c r="A86" s="28"/>
      <c r="C86" s="30"/>
      <c r="E86" s="23" t="s">
        <v>331</v>
      </c>
      <c r="G86" s="23" t="s">
        <v>332</v>
      </c>
    </row>
    <row r="87" spans="1:7" x14ac:dyDescent="0.35">
      <c r="A87" s="28"/>
      <c r="C87" s="30"/>
      <c r="E87" s="23" t="s">
        <v>333</v>
      </c>
      <c r="G87" s="23" t="s">
        <v>315</v>
      </c>
    </row>
    <row r="88" spans="1:7" x14ac:dyDescent="0.35">
      <c r="A88" s="28"/>
      <c r="C88" s="30"/>
      <c r="E88" s="23" t="s">
        <v>334</v>
      </c>
      <c r="G88" s="23" t="s">
        <v>317</v>
      </c>
    </row>
    <row r="89" spans="1:7" x14ac:dyDescent="0.35">
      <c r="A89" s="28"/>
      <c r="C89" s="30"/>
      <c r="E89" s="23" t="s">
        <v>335</v>
      </c>
      <c r="G89" s="23" t="s">
        <v>215</v>
      </c>
    </row>
    <row r="90" spans="1:7" x14ac:dyDescent="0.35">
      <c r="A90" s="28"/>
      <c r="C90" s="30"/>
      <c r="E90" s="23" t="s">
        <v>336</v>
      </c>
      <c r="G90" s="23" t="s">
        <v>104</v>
      </c>
    </row>
    <row r="91" spans="1:7" x14ac:dyDescent="0.35">
      <c r="A91" s="28"/>
      <c r="C91" s="30"/>
    </row>
    <row r="92" spans="1:7" s="4" customFormat="1" ht="2" customHeight="1" x14ac:dyDescent="0.35">
      <c r="A92" s="20"/>
      <c r="B92" s="20"/>
      <c r="C92" s="20"/>
      <c r="D92" s="20"/>
      <c r="E92" s="20"/>
      <c r="F92" s="20"/>
      <c r="G92" s="20"/>
    </row>
    <row r="93" spans="1:7" x14ac:dyDescent="0.35">
      <c r="A93" s="28" t="s">
        <v>337</v>
      </c>
      <c r="C93" s="30" t="s">
        <v>194</v>
      </c>
      <c r="E93" s="29" t="s">
        <v>338</v>
      </c>
      <c r="F93" s="29"/>
      <c r="G93" s="29"/>
    </row>
    <row r="94" spans="1:7" s="4" customFormat="1" ht="2" customHeight="1" x14ac:dyDescent="0.35">
      <c r="A94" s="28"/>
      <c r="B94" s="20"/>
      <c r="C94" s="30"/>
      <c r="D94" s="20"/>
      <c r="E94" s="20"/>
      <c r="F94" s="20"/>
      <c r="G94" s="20"/>
    </row>
    <row r="95" spans="1:7" x14ac:dyDescent="0.35">
      <c r="A95" s="28"/>
      <c r="C95" s="30"/>
      <c r="E95" s="25" t="s">
        <v>6</v>
      </c>
      <c r="F95" s="26"/>
      <c r="G95" s="25" t="s">
        <v>8</v>
      </c>
    </row>
    <row r="96" spans="1:7" x14ac:dyDescent="0.35">
      <c r="A96" s="28"/>
      <c r="C96" s="30"/>
      <c r="E96" s="25" t="s">
        <v>308</v>
      </c>
      <c r="F96" s="26"/>
      <c r="G96" s="25"/>
    </row>
    <row r="97" spans="1:7" x14ac:dyDescent="0.35">
      <c r="A97" s="28"/>
      <c r="C97" s="30"/>
      <c r="E97" s="23" t="s">
        <v>339</v>
      </c>
      <c r="G97" s="23" t="s">
        <v>340</v>
      </c>
    </row>
    <row r="98" spans="1:7" x14ac:dyDescent="0.35">
      <c r="A98" s="28"/>
      <c r="C98" s="30"/>
      <c r="E98" s="23" t="s">
        <v>198</v>
      </c>
      <c r="G98" s="23" t="s">
        <v>341</v>
      </c>
    </row>
    <row r="99" spans="1:7" x14ac:dyDescent="0.35">
      <c r="A99" s="28"/>
      <c r="C99" s="30"/>
      <c r="E99" s="23" t="s">
        <v>199</v>
      </c>
      <c r="G99" s="23" t="s">
        <v>214</v>
      </c>
    </row>
    <row r="100" spans="1:7" x14ac:dyDescent="0.35">
      <c r="A100" s="28"/>
      <c r="C100" s="30"/>
      <c r="E100" s="23" t="s">
        <v>200</v>
      </c>
      <c r="G100" s="23" t="s">
        <v>215</v>
      </c>
    </row>
    <row r="101" spans="1:7" x14ac:dyDescent="0.35">
      <c r="A101" s="28"/>
      <c r="C101" s="30"/>
      <c r="E101" s="23" t="s">
        <v>201</v>
      </c>
      <c r="G101" s="23" t="s">
        <v>104</v>
      </c>
    </row>
    <row r="102" spans="1:7" x14ac:dyDescent="0.35">
      <c r="A102" s="28"/>
      <c r="C102" s="30"/>
    </row>
    <row r="103" spans="1:7" x14ac:dyDescent="0.35">
      <c r="A103" s="28"/>
      <c r="C103" s="30"/>
      <c r="E103" s="25" t="s">
        <v>342</v>
      </c>
    </row>
    <row r="104" spans="1:7" x14ac:dyDescent="0.35">
      <c r="A104" s="28"/>
      <c r="C104" s="30"/>
      <c r="E104" s="23" t="s">
        <v>203</v>
      </c>
      <c r="G104" s="23" t="s">
        <v>216</v>
      </c>
    </row>
    <row r="105" spans="1:7" x14ac:dyDescent="0.35">
      <c r="A105" s="28"/>
      <c r="C105" s="30"/>
      <c r="E105" s="23" t="s">
        <v>204</v>
      </c>
      <c r="G105" s="23" t="s">
        <v>214</v>
      </c>
    </row>
    <row r="106" spans="1:7" x14ac:dyDescent="0.35">
      <c r="A106" s="28"/>
      <c r="C106" s="30"/>
      <c r="E106" s="23" t="s">
        <v>205</v>
      </c>
      <c r="G106" s="23" t="s">
        <v>215</v>
      </c>
    </row>
    <row r="107" spans="1:7" x14ac:dyDescent="0.35">
      <c r="A107" s="28"/>
      <c r="C107" s="30"/>
      <c r="E107" s="23" t="s">
        <v>206</v>
      </c>
      <c r="G107" s="23" t="s">
        <v>104</v>
      </c>
    </row>
    <row r="108" spans="1:7" x14ac:dyDescent="0.35">
      <c r="A108" s="28"/>
      <c r="C108" s="30"/>
    </row>
    <row r="109" spans="1:7" x14ac:dyDescent="0.35">
      <c r="A109" s="28"/>
      <c r="C109" s="30"/>
      <c r="E109" s="25" t="s">
        <v>343</v>
      </c>
    </row>
    <row r="110" spans="1:7" x14ac:dyDescent="0.35">
      <c r="A110" s="28"/>
      <c r="C110" s="30"/>
      <c r="E110" s="27" t="s">
        <v>208</v>
      </c>
      <c r="G110" s="23" t="s">
        <v>341</v>
      </c>
    </row>
    <row r="111" spans="1:7" x14ac:dyDescent="0.35">
      <c r="A111" s="28"/>
      <c r="C111" s="30"/>
      <c r="E111" s="23" t="s">
        <v>209</v>
      </c>
      <c r="G111" s="23" t="s">
        <v>340</v>
      </c>
    </row>
    <row r="112" spans="1:7" x14ac:dyDescent="0.35">
      <c r="A112" s="28"/>
      <c r="C112" s="30"/>
      <c r="E112" s="23" t="s">
        <v>210</v>
      </c>
      <c r="G112" s="23" t="s">
        <v>214</v>
      </c>
    </row>
    <row r="113" spans="1:7" x14ac:dyDescent="0.35">
      <c r="A113" s="28"/>
      <c r="C113" s="30"/>
      <c r="E113" s="23" t="s">
        <v>211</v>
      </c>
      <c r="G113" s="23" t="s">
        <v>344</v>
      </c>
    </row>
    <row r="114" spans="1:7" x14ac:dyDescent="0.35">
      <c r="A114" s="28"/>
      <c r="C114" s="30"/>
      <c r="E114" s="23" t="s">
        <v>212</v>
      </c>
      <c r="G114" s="23" t="s">
        <v>104</v>
      </c>
    </row>
    <row r="115" spans="1:7" x14ac:dyDescent="0.35">
      <c r="A115" s="28"/>
      <c r="C115" s="30"/>
    </row>
    <row r="116" spans="1:7" s="4" customFormat="1" ht="2" customHeight="1" x14ac:dyDescent="0.35">
      <c r="A116" s="20"/>
      <c r="B116" s="20"/>
      <c r="C116" s="20"/>
      <c r="D116" s="20"/>
      <c r="E116" s="20"/>
      <c r="F116" s="20"/>
      <c r="G116" s="20"/>
    </row>
    <row r="117" spans="1:7" x14ac:dyDescent="0.35">
      <c r="A117" s="28" t="s">
        <v>106</v>
      </c>
      <c r="C117" s="30" t="s">
        <v>106</v>
      </c>
      <c r="E117" s="23" t="s">
        <v>107</v>
      </c>
    </row>
    <row r="118" spans="1:7" s="4" customFormat="1" ht="2" customHeight="1" x14ac:dyDescent="0.35">
      <c r="A118" s="28"/>
      <c r="B118" s="20"/>
      <c r="C118" s="30"/>
      <c r="D118" s="20"/>
      <c r="E118" s="20"/>
      <c r="F118" s="20"/>
      <c r="G118" s="20"/>
    </row>
    <row r="119" spans="1:7" x14ac:dyDescent="0.35">
      <c r="A119" s="28"/>
      <c r="C119" s="30"/>
      <c r="E119" s="25" t="s">
        <v>6</v>
      </c>
      <c r="F119" s="26"/>
      <c r="G119" s="25" t="s">
        <v>8</v>
      </c>
    </row>
    <row r="120" spans="1:7" ht="15.5" x14ac:dyDescent="0.35">
      <c r="A120" s="28"/>
      <c r="C120" s="30"/>
      <c r="E120" s="23" t="s">
        <v>108</v>
      </c>
      <c r="G120" s="10" t="s">
        <v>113</v>
      </c>
    </row>
    <row r="121" spans="1:7" ht="31" x14ac:dyDescent="0.35">
      <c r="A121" s="28"/>
      <c r="C121" s="30"/>
      <c r="E121" s="23" t="s">
        <v>109</v>
      </c>
      <c r="G121" s="10" t="s">
        <v>114</v>
      </c>
    </row>
    <row r="122" spans="1:7" ht="31" x14ac:dyDescent="0.35">
      <c r="A122" s="28"/>
      <c r="C122" s="30"/>
      <c r="E122" s="23" t="s">
        <v>110</v>
      </c>
      <c r="G122" s="10" t="s">
        <v>116</v>
      </c>
    </row>
    <row r="123" spans="1:7" ht="15.5" x14ac:dyDescent="0.35">
      <c r="A123" s="28"/>
      <c r="C123" s="30"/>
      <c r="E123" s="23" t="s">
        <v>111</v>
      </c>
      <c r="G123" s="10" t="s">
        <v>115</v>
      </c>
    </row>
    <row r="124" spans="1:7" ht="15.5" x14ac:dyDescent="0.35">
      <c r="A124" s="28"/>
      <c r="C124" s="30"/>
      <c r="E124" s="23" t="s">
        <v>112</v>
      </c>
      <c r="G124" s="10" t="s">
        <v>118</v>
      </c>
    </row>
    <row r="125" spans="1:7" x14ac:dyDescent="0.35">
      <c r="A125" s="28"/>
      <c r="C125" s="30"/>
    </row>
    <row r="126" spans="1:7" s="4" customFormat="1" ht="2" customHeight="1" x14ac:dyDescent="0.35">
      <c r="A126" s="20"/>
      <c r="B126" s="20"/>
      <c r="C126" s="20"/>
      <c r="D126" s="20"/>
      <c r="E126" s="20"/>
      <c r="F126" s="20"/>
      <c r="G126" s="20"/>
    </row>
    <row r="127" spans="1:7" x14ac:dyDescent="0.35">
      <c r="A127" s="28" t="s">
        <v>281</v>
      </c>
      <c r="C127" s="30" t="s">
        <v>345</v>
      </c>
      <c r="E127" s="29" t="s">
        <v>346</v>
      </c>
      <c r="F127" s="29"/>
      <c r="G127" s="29"/>
    </row>
    <row r="128" spans="1:7" x14ac:dyDescent="0.35">
      <c r="A128" s="28"/>
      <c r="C128" s="30"/>
      <c r="E128" s="29" t="s">
        <v>273</v>
      </c>
      <c r="F128" s="29"/>
      <c r="G128" s="29"/>
    </row>
    <row r="129" spans="1:7" x14ac:dyDescent="0.35">
      <c r="A129" s="28"/>
      <c r="C129" s="30"/>
      <c r="E129" s="29" t="s">
        <v>300</v>
      </c>
      <c r="F129" s="29"/>
      <c r="G129" s="29"/>
    </row>
    <row r="130" spans="1:7" x14ac:dyDescent="0.35">
      <c r="A130" s="28"/>
      <c r="C130" s="30"/>
      <c r="E130" s="29"/>
      <c r="F130" s="29"/>
      <c r="G130" s="29"/>
    </row>
    <row r="131" spans="1:7" s="4" customFormat="1" ht="2" customHeight="1" x14ac:dyDescent="0.35">
      <c r="A131" s="20"/>
      <c r="B131" s="20"/>
      <c r="C131" s="20"/>
      <c r="D131" s="20"/>
      <c r="E131" s="20"/>
      <c r="F131" s="20"/>
      <c r="G131" s="20"/>
    </row>
    <row r="132" spans="1:7" x14ac:dyDescent="0.35">
      <c r="A132" s="28" t="s">
        <v>347</v>
      </c>
      <c r="C132" s="30" t="s">
        <v>120</v>
      </c>
      <c r="E132" s="29" t="s">
        <v>348</v>
      </c>
      <c r="F132" s="29"/>
      <c r="G132" s="29"/>
    </row>
    <row r="133" spans="1:7" s="4" customFormat="1" ht="2" customHeight="1" x14ac:dyDescent="0.35">
      <c r="A133" s="28"/>
      <c r="B133" s="20"/>
      <c r="C133" s="30"/>
      <c r="D133" s="20"/>
      <c r="E133" s="20"/>
      <c r="F133" s="20"/>
      <c r="G133" s="20"/>
    </row>
    <row r="134" spans="1:7" x14ac:dyDescent="0.35">
      <c r="A134" s="28"/>
      <c r="C134" s="30"/>
      <c r="E134" s="25" t="s">
        <v>6</v>
      </c>
      <c r="G134" s="25" t="s">
        <v>8</v>
      </c>
    </row>
    <row r="135" spans="1:7" x14ac:dyDescent="0.35">
      <c r="A135" s="28"/>
      <c r="C135" s="30"/>
      <c r="E135" s="23" t="s">
        <v>122</v>
      </c>
      <c r="G135" s="23" t="s">
        <v>350</v>
      </c>
    </row>
    <row r="136" spans="1:7" x14ac:dyDescent="0.35">
      <c r="A136" s="28"/>
      <c r="C136" s="30"/>
      <c r="E136" s="23" t="s">
        <v>124</v>
      </c>
      <c r="G136" s="23" t="s">
        <v>351</v>
      </c>
    </row>
    <row r="137" spans="1:7" x14ac:dyDescent="0.35">
      <c r="A137" s="28"/>
      <c r="C137" s="30"/>
      <c r="E137" s="23" t="s">
        <v>126</v>
      </c>
      <c r="G137" s="23" t="s">
        <v>349</v>
      </c>
    </row>
    <row r="138" spans="1:7" x14ac:dyDescent="0.35">
      <c r="A138" s="28"/>
      <c r="C138" s="30"/>
    </row>
    <row r="139" spans="1:7" s="4" customFormat="1" x14ac:dyDescent="0.35">
      <c r="A139" s="20"/>
      <c r="B139" s="20"/>
      <c r="C139" s="20"/>
      <c r="D139" s="20"/>
      <c r="E139" s="20"/>
      <c r="F139" s="20"/>
      <c r="G139" s="20"/>
    </row>
    <row r="140" spans="1:7" s="4" customFormat="1" x14ac:dyDescent="0.35">
      <c r="A140" s="20"/>
      <c r="B140" s="20"/>
      <c r="C140" s="20"/>
      <c r="D140" s="20"/>
      <c r="E140" s="20"/>
      <c r="F140" s="20"/>
      <c r="G140" s="20"/>
    </row>
    <row r="141" spans="1:7" s="4" customFormat="1" x14ac:dyDescent="0.35">
      <c r="A141" s="20"/>
      <c r="B141" s="20"/>
      <c r="C141" s="20"/>
      <c r="D141" s="20"/>
      <c r="E141" s="20"/>
      <c r="F141" s="20"/>
      <c r="G141" s="20"/>
    </row>
    <row r="142" spans="1:7" s="4" customFormat="1" x14ac:dyDescent="0.35">
      <c r="A142" s="20"/>
      <c r="B142" s="20"/>
      <c r="C142" s="20"/>
      <c r="D142" s="20"/>
      <c r="E142" s="20"/>
      <c r="F142" s="20"/>
      <c r="G142" s="20"/>
    </row>
    <row r="143" spans="1:7" s="4" customFormat="1" x14ac:dyDescent="0.35">
      <c r="A143" s="20"/>
      <c r="B143" s="20"/>
      <c r="C143" s="20"/>
      <c r="D143" s="20"/>
      <c r="E143" s="20"/>
      <c r="F143" s="20"/>
      <c r="G143" s="20"/>
    </row>
    <row r="144" spans="1:7" s="4" customFormat="1" x14ac:dyDescent="0.35">
      <c r="A144" s="20"/>
      <c r="B144" s="20"/>
      <c r="C144" s="20"/>
      <c r="D144" s="20"/>
      <c r="E144" s="20"/>
      <c r="F144" s="20"/>
      <c r="G144" s="20"/>
    </row>
    <row r="145" spans="1:7" s="4" customFormat="1" x14ac:dyDescent="0.35">
      <c r="A145" s="20"/>
      <c r="B145" s="20"/>
      <c r="C145" s="20"/>
      <c r="D145" s="20"/>
      <c r="E145" s="20"/>
      <c r="F145" s="20"/>
      <c r="G145" s="20"/>
    </row>
    <row r="146" spans="1:7" s="4" customFormat="1" x14ac:dyDescent="0.35">
      <c r="A146" s="20"/>
      <c r="B146" s="20"/>
      <c r="C146" s="20"/>
      <c r="D146" s="20"/>
      <c r="E146" s="20"/>
      <c r="F146" s="20"/>
      <c r="G146" s="20"/>
    </row>
    <row r="147" spans="1:7" s="4" customFormat="1" x14ac:dyDescent="0.35">
      <c r="A147" s="20"/>
      <c r="B147" s="20"/>
      <c r="C147" s="20"/>
      <c r="D147" s="20"/>
      <c r="E147" s="20"/>
      <c r="F147" s="20"/>
      <c r="G147" s="20"/>
    </row>
    <row r="148" spans="1:7" s="4" customFormat="1" x14ac:dyDescent="0.35">
      <c r="A148" s="20"/>
      <c r="B148" s="20"/>
      <c r="C148" s="20"/>
      <c r="D148" s="20"/>
      <c r="E148" s="20"/>
      <c r="F148" s="20"/>
      <c r="G148" s="20"/>
    </row>
    <row r="149" spans="1:7" s="4" customFormat="1" x14ac:dyDescent="0.35">
      <c r="A149" s="20"/>
      <c r="B149" s="20"/>
      <c r="C149" s="20"/>
      <c r="D149" s="20"/>
      <c r="E149" s="20"/>
      <c r="F149" s="20"/>
      <c r="G149" s="20"/>
    </row>
    <row r="150" spans="1:7" s="4" customFormat="1" x14ac:dyDescent="0.35">
      <c r="A150" s="20"/>
      <c r="B150" s="20"/>
      <c r="C150" s="20"/>
      <c r="D150" s="20"/>
      <c r="E150" s="20"/>
      <c r="F150" s="20"/>
      <c r="G150" s="20"/>
    </row>
  </sheetData>
  <mergeCells count="67">
    <mergeCell ref="E1:G1"/>
    <mergeCell ref="E3:G3"/>
    <mergeCell ref="E4:G4"/>
    <mergeCell ref="E5:G5"/>
    <mergeCell ref="A3:A6"/>
    <mergeCell ref="C3:C6"/>
    <mergeCell ref="E6:G6"/>
    <mergeCell ref="E16:G16"/>
    <mergeCell ref="A16:A21"/>
    <mergeCell ref="C16:C21"/>
    <mergeCell ref="E23:G23"/>
    <mergeCell ref="E11:G11"/>
    <mergeCell ref="A23:A38"/>
    <mergeCell ref="C23:C38"/>
    <mergeCell ref="A8:A11"/>
    <mergeCell ref="C8:C11"/>
    <mergeCell ref="E10:G10"/>
    <mergeCell ref="E9:G9"/>
    <mergeCell ref="E8:G8"/>
    <mergeCell ref="E13:G13"/>
    <mergeCell ref="E14:G14"/>
    <mergeCell ref="E43:G43"/>
    <mergeCell ref="E40:G40"/>
    <mergeCell ref="E41:G41"/>
    <mergeCell ref="E42:G42"/>
    <mergeCell ref="E44:G44"/>
    <mergeCell ref="E54:G54"/>
    <mergeCell ref="C46:C49"/>
    <mergeCell ref="E46:G46"/>
    <mergeCell ref="E47:G47"/>
    <mergeCell ref="E48:G48"/>
    <mergeCell ref="E49:G49"/>
    <mergeCell ref="E63:G63"/>
    <mergeCell ref="A57:A61"/>
    <mergeCell ref="C57:C61"/>
    <mergeCell ref="A51:A55"/>
    <mergeCell ref="C51:C55"/>
    <mergeCell ref="A63:A91"/>
    <mergeCell ref="C63:C91"/>
    <mergeCell ref="E55:G55"/>
    <mergeCell ref="E60:G60"/>
    <mergeCell ref="E59:G59"/>
    <mergeCell ref="E58:G58"/>
    <mergeCell ref="E61:G61"/>
    <mergeCell ref="E57:G57"/>
    <mergeCell ref="E51:G51"/>
    <mergeCell ref="E52:G52"/>
    <mergeCell ref="E53:G53"/>
    <mergeCell ref="A46:A49"/>
    <mergeCell ref="A40:A44"/>
    <mergeCell ref="C40:C44"/>
    <mergeCell ref="C13:C14"/>
    <mergeCell ref="A13:A14"/>
    <mergeCell ref="E93:G93"/>
    <mergeCell ref="A93:A115"/>
    <mergeCell ref="C93:C115"/>
    <mergeCell ref="A117:A125"/>
    <mergeCell ref="C117:C125"/>
    <mergeCell ref="A127:A130"/>
    <mergeCell ref="E132:G132"/>
    <mergeCell ref="C132:C138"/>
    <mergeCell ref="A132:A138"/>
    <mergeCell ref="E129:G129"/>
    <mergeCell ref="E128:G128"/>
    <mergeCell ref="E127:G127"/>
    <mergeCell ref="E130:G130"/>
    <mergeCell ref="C127:C1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tabSelected="1" zoomScale="70" zoomScaleNormal="70" workbookViewId="0">
      <selection activeCell="G6" sqref="G6"/>
    </sheetView>
  </sheetViews>
  <sheetFormatPr defaultRowHeight="14.5" x14ac:dyDescent="0.35"/>
  <cols>
    <col min="1" max="1" width="29.6328125" style="16" customWidth="1"/>
    <col min="2" max="2" width="0.453125" style="2" customWidth="1"/>
    <col min="3" max="3" width="29.6328125" style="13" customWidth="1"/>
    <col min="4" max="4" width="0.453125" style="2" customWidth="1"/>
    <col min="5" max="5" width="37.81640625" style="1" customWidth="1"/>
    <col min="6" max="6" width="0.453125" style="3" customWidth="1"/>
    <col min="7" max="7" width="57.6328125" style="1" customWidth="1"/>
  </cols>
  <sheetData>
    <row r="1" spans="1:7" ht="21" x14ac:dyDescent="0.35">
      <c r="A1" s="14" t="s">
        <v>3</v>
      </c>
      <c r="B1" s="5"/>
      <c r="C1" s="11" t="s">
        <v>2</v>
      </c>
      <c r="D1" s="5"/>
      <c r="E1" s="35" t="s">
        <v>0</v>
      </c>
      <c r="F1" s="35"/>
      <c r="G1" s="35"/>
    </row>
    <row r="2" spans="1:7" s="4" customFormat="1" ht="2" customHeight="1" x14ac:dyDescent="0.35">
      <c r="A2" s="3"/>
      <c r="B2" s="2"/>
      <c r="C2" s="3"/>
      <c r="D2" s="2"/>
      <c r="E2" s="3"/>
      <c r="F2" s="3"/>
      <c r="G2" s="3"/>
    </row>
    <row r="3" spans="1:7" ht="29" customHeight="1" x14ac:dyDescent="0.35">
      <c r="A3" s="34" t="s">
        <v>1</v>
      </c>
      <c r="B3" s="6"/>
      <c r="C3" s="31" t="s">
        <v>4</v>
      </c>
      <c r="D3" s="6"/>
      <c r="E3" s="32" t="s">
        <v>5</v>
      </c>
      <c r="F3" s="32"/>
      <c r="G3" s="32"/>
    </row>
    <row r="4" spans="1:7" s="4" customFormat="1" ht="2" customHeight="1" x14ac:dyDescent="0.35">
      <c r="A4" s="34"/>
      <c r="B4" s="6"/>
      <c r="C4" s="31"/>
      <c r="D4" s="6"/>
      <c r="E4" s="7"/>
      <c r="F4" s="7"/>
      <c r="G4" s="7"/>
    </row>
    <row r="5" spans="1:7" ht="15.5" x14ac:dyDescent="0.35">
      <c r="A5" s="34"/>
      <c r="B5" s="6"/>
      <c r="C5" s="31"/>
      <c r="D5" s="6"/>
      <c r="E5" s="8" t="s">
        <v>7</v>
      </c>
      <c r="F5" s="9"/>
      <c r="G5" s="8" t="s">
        <v>8</v>
      </c>
    </row>
    <row r="6" spans="1:7" ht="15.5" x14ac:dyDescent="0.35">
      <c r="A6" s="34"/>
      <c r="B6" s="6"/>
      <c r="C6" s="31"/>
      <c r="D6" s="6"/>
      <c r="E6" s="10" t="s">
        <v>10</v>
      </c>
      <c r="F6" s="7"/>
      <c r="G6" s="10" t="s">
        <v>12</v>
      </c>
    </row>
    <row r="7" spans="1:7" ht="15.5" x14ac:dyDescent="0.35">
      <c r="A7" s="34"/>
      <c r="B7" s="6"/>
      <c r="C7" s="31"/>
      <c r="D7" s="6"/>
      <c r="E7" s="10" t="s">
        <v>9</v>
      </c>
      <c r="F7" s="7"/>
      <c r="G7" s="10" t="s">
        <v>13</v>
      </c>
    </row>
    <row r="8" spans="1:7" ht="15.5" x14ac:dyDescent="0.35">
      <c r="A8" s="34"/>
      <c r="B8" s="6"/>
      <c r="C8" s="31"/>
      <c r="D8" s="6"/>
      <c r="E8" s="10" t="s">
        <v>11</v>
      </c>
      <c r="F8" s="7"/>
      <c r="G8" s="10" t="s">
        <v>14</v>
      </c>
    </row>
    <row r="9" spans="1:7" ht="15.5" x14ac:dyDescent="0.35">
      <c r="A9" s="34"/>
      <c r="B9" s="6"/>
      <c r="C9" s="31"/>
      <c r="D9" s="6"/>
      <c r="E9" s="10"/>
      <c r="F9" s="7"/>
      <c r="G9" s="10"/>
    </row>
    <row r="10" spans="1:7" s="4" customFormat="1" ht="2" customHeight="1" x14ac:dyDescent="0.35">
      <c r="A10" s="7"/>
      <c r="B10" s="6"/>
      <c r="C10" s="7"/>
      <c r="D10" s="6"/>
      <c r="E10" s="7"/>
      <c r="F10" s="7"/>
      <c r="G10" s="7"/>
    </row>
    <row r="11" spans="1:7" ht="29" customHeight="1" x14ac:dyDescent="0.35">
      <c r="A11" s="15" t="s">
        <v>15</v>
      </c>
      <c r="B11" s="6"/>
      <c r="C11" s="12" t="s">
        <v>16</v>
      </c>
      <c r="D11" s="6"/>
      <c r="E11" s="32" t="s">
        <v>255</v>
      </c>
      <c r="F11" s="32"/>
      <c r="G11" s="32"/>
    </row>
    <row r="12" spans="1:7" ht="15.5" x14ac:dyDescent="0.35">
      <c r="A12" s="15"/>
      <c r="B12" s="6"/>
      <c r="C12" s="12"/>
      <c r="D12" s="6"/>
      <c r="E12" s="32"/>
      <c r="F12" s="32"/>
      <c r="G12" s="32"/>
    </row>
    <row r="13" spans="1:7" s="37" customFormat="1" ht="2" customHeight="1" x14ac:dyDescent="0.35"/>
    <row r="14" spans="1:7" ht="15.5" x14ac:dyDescent="0.35">
      <c r="A14" s="34" t="s">
        <v>17</v>
      </c>
      <c r="B14" s="6"/>
      <c r="C14" s="31" t="s">
        <v>18</v>
      </c>
      <c r="D14" s="6"/>
      <c r="E14" s="36" t="s">
        <v>19</v>
      </c>
      <c r="F14" s="36"/>
      <c r="G14" s="36"/>
    </row>
    <row r="15" spans="1:7" ht="15.5" x14ac:dyDescent="0.35">
      <c r="A15" s="34"/>
      <c r="B15" s="6"/>
      <c r="C15" s="31"/>
      <c r="D15" s="6"/>
      <c r="E15" s="32" t="s">
        <v>254</v>
      </c>
      <c r="F15" s="32"/>
      <c r="G15" s="32"/>
    </row>
    <row r="16" spans="1:7" ht="15.5" x14ac:dyDescent="0.35">
      <c r="A16" s="34"/>
      <c r="B16" s="6"/>
      <c r="C16" s="12"/>
      <c r="D16" s="6"/>
      <c r="E16" s="32"/>
      <c r="F16" s="32"/>
      <c r="G16" s="32"/>
    </row>
    <row r="17" spans="1:7" s="4" customFormat="1" ht="2" customHeight="1" x14ac:dyDescent="0.35">
      <c r="A17" s="7"/>
      <c r="B17" s="6"/>
      <c r="C17" s="7"/>
      <c r="D17" s="6"/>
      <c r="E17" s="7"/>
      <c r="F17" s="7"/>
      <c r="G17" s="7"/>
    </row>
    <row r="18" spans="1:7" ht="29" customHeight="1" x14ac:dyDescent="0.35">
      <c r="A18" s="15" t="s">
        <v>20</v>
      </c>
      <c r="B18" s="6"/>
      <c r="C18" s="12" t="s">
        <v>21</v>
      </c>
      <c r="D18" s="6"/>
      <c r="E18" s="32" t="s">
        <v>22</v>
      </c>
      <c r="F18" s="32"/>
      <c r="G18" s="32"/>
    </row>
    <row r="19" spans="1:7" ht="15.5" x14ac:dyDescent="0.35">
      <c r="A19" s="15"/>
      <c r="B19" s="6"/>
      <c r="C19" s="12"/>
      <c r="D19" s="6"/>
      <c r="E19" s="32"/>
      <c r="F19" s="32"/>
      <c r="G19" s="32"/>
    </row>
    <row r="20" spans="1:7" s="4" customFormat="1" ht="2" customHeight="1" x14ac:dyDescent="0.35">
      <c r="A20" s="7"/>
      <c r="B20" s="6"/>
      <c r="C20" s="7"/>
      <c r="D20" s="6"/>
      <c r="E20" s="7"/>
      <c r="F20" s="7"/>
      <c r="G20" s="7"/>
    </row>
    <row r="21" spans="1:7" ht="15.5" x14ac:dyDescent="0.35">
      <c r="A21" s="34" t="s">
        <v>23</v>
      </c>
      <c r="B21" s="6"/>
      <c r="C21" s="31" t="s">
        <v>24</v>
      </c>
      <c r="D21" s="6"/>
      <c r="E21" s="32" t="s">
        <v>25</v>
      </c>
      <c r="F21" s="32"/>
      <c r="G21" s="32"/>
    </row>
    <row r="22" spans="1:7" s="4" customFormat="1" ht="2" customHeight="1" x14ac:dyDescent="0.35">
      <c r="A22" s="34"/>
      <c r="B22" s="6"/>
      <c r="C22" s="31"/>
      <c r="D22" s="6"/>
      <c r="E22" s="7"/>
      <c r="F22" s="7"/>
      <c r="G22" s="7"/>
    </row>
    <row r="23" spans="1:7" ht="15.5" x14ac:dyDescent="0.35">
      <c r="A23" s="34"/>
      <c r="B23" s="6"/>
      <c r="C23" s="31"/>
      <c r="D23" s="6"/>
      <c r="E23" s="8" t="s">
        <v>6</v>
      </c>
      <c r="F23" s="9"/>
      <c r="G23" s="8" t="s">
        <v>8</v>
      </c>
    </row>
    <row r="24" spans="1:7" ht="15.5" x14ac:dyDescent="0.35">
      <c r="A24" s="34"/>
      <c r="B24" s="6"/>
      <c r="C24" s="31"/>
      <c r="D24" s="6"/>
      <c r="E24" s="10" t="s">
        <v>26</v>
      </c>
      <c r="F24" s="7"/>
      <c r="G24" s="10" t="s">
        <v>38</v>
      </c>
    </row>
    <row r="25" spans="1:7" ht="15.5" x14ac:dyDescent="0.35">
      <c r="A25" s="34"/>
      <c r="B25" s="6"/>
      <c r="C25" s="31"/>
      <c r="D25" s="6"/>
      <c r="E25" s="10" t="s">
        <v>27</v>
      </c>
      <c r="F25" s="7"/>
      <c r="G25" s="10" t="s">
        <v>39</v>
      </c>
    </row>
    <row r="26" spans="1:7" ht="15.5" x14ac:dyDescent="0.35">
      <c r="A26" s="34"/>
      <c r="B26" s="6"/>
      <c r="C26" s="31"/>
      <c r="D26" s="6"/>
      <c r="E26" s="10" t="s">
        <v>28</v>
      </c>
      <c r="F26" s="7"/>
      <c r="G26" s="10" t="s">
        <v>40</v>
      </c>
    </row>
    <row r="27" spans="1:7" ht="15.5" x14ac:dyDescent="0.35">
      <c r="A27" s="34"/>
      <c r="B27" s="6"/>
      <c r="C27" s="31"/>
      <c r="D27" s="6"/>
      <c r="E27" s="10" t="s">
        <v>29</v>
      </c>
      <c r="F27" s="7"/>
      <c r="G27" s="10" t="s">
        <v>41</v>
      </c>
    </row>
    <row r="28" spans="1:7" ht="15.5" x14ac:dyDescent="0.35">
      <c r="A28" s="34"/>
      <c r="B28" s="6"/>
      <c r="C28" s="31"/>
      <c r="D28" s="6"/>
      <c r="E28" s="10" t="s">
        <v>30</v>
      </c>
      <c r="F28" s="7"/>
      <c r="G28" s="10" t="s">
        <v>42</v>
      </c>
    </row>
    <row r="29" spans="1:7" ht="15.5" x14ac:dyDescent="0.35">
      <c r="A29" s="34"/>
      <c r="B29" s="6"/>
      <c r="C29" s="31"/>
      <c r="D29" s="6"/>
      <c r="E29" s="10" t="s">
        <v>31</v>
      </c>
      <c r="F29" s="7"/>
      <c r="G29" s="10" t="s">
        <v>43</v>
      </c>
    </row>
    <row r="30" spans="1:7" ht="15.5" x14ac:dyDescent="0.35">
      <c r="A30" s="34"/>
      <c r="B30" s="6"/>
      <c r="C30" s="31"/>
      <c r="D30" s="6"/>
      <c r="E30" s="10" t="s">
        <v>32</v>
      </c>
      <c r="F30" s="7"/>
      <c r="G30" s="10" t="s">
        <v>48</v>
      </c>
    </row>
    <row r="31" spans="1:7" ht="15.5" x14ac:dyDescent="0.35">
      <c r="A31" s="34"/>
      <c r="B31" s="6"/>
      <c r="C31" s="31"/>
      <c r="D31" s="6"/>
      <c r="E31" s="10" t="s">
        <v>33</v>
      </c>
      <c r="F31" s="7"/>
      <c r="G31" s="10" t="s">
        <v>47</v>
      </c>
    </row>
    <row r="32" spans="1:7" ht="15.5" x14ac:dyDescent="0.35">
      <c r="A32" s="34"/>
      <c r="B32" s="6"/>
      <c r="C32" s="31"/>
      <c r="D32" s="6"/>
      <c r="E32" s="10" t="s">
        <v>34</v>
      </c>
      <c r="F32" s="7"/>
      <c r="G32" s="10" t="s">
        <v>46</v>
      </c>
    </row>
    <row r="33" spans="1:7" ht="15.5" x14ac:dyDescent="0.35">
      <c r="A33" s="34"/>
      <c r="B33" s="6"/>
      <c r="C33" s="31"/>
      <c r="D33" s="6"/>
      <c r="E33" s="10" t="s">
        <v>44</v>
      </c>
      <c r="F33" s="7"/>
      <c r="G33" s="10" t="s">
        <v>45</v>
      </c>
    </row>
    <row r="34" spans="1:7" ht="15.5" x14ac:dyDescent="0.35">
      <c r="A34" s="34"/>
      <c r="B34" s="6"/>
      <c r="C34" s="31"/>
      <c r="D34" s="6"/>
      <c r="E34" s="10" t="s">
        <v>35</v>
      </c>
      <c r="F34" s="7"/>
      <c r="G34" s="10" t="s">
        <v>49</v>
      </c>
    </row>
    <row r="35" spans="1:7" ht="15.5" x14ac:dyDescent="0.35">
      <c r="A35" s="34"/>
      <c r="B35" s="6"/>
      <c r="C35" s="31"/>
      <c r="D35" s="6"/>
      <c r="E35" s="10" t="s">
        <v>36</v>
      </c>
      <c r="F35" s="7"/>
      <c r="G35" s="10" t="s">
        <v>50</v>
      </c>
    </row>
    <row r="36" spans="1:7" ht="15.5" x14ac:dyDescent="0.35">
      <c r="A36" s="34"/>
      <c r="B36" s="6"/>
      <c r="C36" s="31"/>
      <c r="D36" s="6"/>
      <c r="E36" s="10" t="s">
        <v>37</v>
      </c>
      <c r="F36" s="7"/>
      <c r="G36" s="10" t="s">
        <v>83</v>
      </c>
    </row>
    <row r="37" spans="1:7" ht="15.5" x14ac:dyDescent="0.35">
      <c r="A37" s="15"/>
      <c r="B37" s="6"/>
      <c r="C37" s="12"/>
      <c r="D37" s="6"/>
      <c r="E37" s="10"/>
      <c r="F37" s="7"/>
      <c r="G37" s="10"/>
    </row>
    <row r="38" spans="1:7" s="4" customFormat="1" ht="2" customHeight="1" x14ac:dyDescent="0.35">
      <c r="A38" s="7"/>
      <c r="B38" s="6"/>
      <c r="C38" s="7"/>
      <c r="D38" s="6"/>
      <c r="E38" s="7"/>
      <c r="F38" s="7"/>
      <c r="G38" s="7"/>
    </row>
    <row r="39" spans="1:7" ht="19.5" customHeight="1" x14ac:dyDescent="0.35">
      <c r="A39" s="34" t="s">
        <v>51</v>
      </c>
      <c r="B39" s="6"/>
      <c r="C39" s="31" t="s">
        <v>52</v>
      </c>
      <c r="D39" s="6"/>
      <c r="E39" s="32" t="s">
        <v>93</v>
      </c>
      <c r="F39" s="32"/>
      <c r="G39" s="32"/>
    </row>
    <row r="40" spans="1:7" s="4" customFormat="1" ht="2" customHeight="1" x14ac:dyDescent="0.35">
      <c r="A40" s="34"/>
      <c r="B40" s="6"/>
      <c r="C40" s="31"/>
      <c r="D40" s="6"/>
      <c r="E40" s="7"/>
      <c r="F40" s="7"/>
      <c r="G40" s="7"/>
    </row>
    <row r="41" spans="1:7" ht="15.5" x14ac:dyDescent="0.35">
      <c r="A41" s="34"/>
      <c r="B41" s="6"/>
      <c r="C41" s="31"/>
      <c r="D41" s="6"/>
      <c r="E41" s="8" t="s">
        <v>6</v>
      </c>
      <c r="F41" s="9"/>
      <c r="G41" s="8" t="s">
        <v>8</v>
      </c>
    </row>
    <row r="42" spans="1:7" ht="15.5" x14ac:dyDescent="0.35">
      <c r="A42" s="34"/>
      <c r="B42" s="6"/>
      <c r="C42" s="31"/>
      <c r="D42" s="6"/>
      <c r="E42" s="10" t="s">
        <v>53</v>
      </c>
      <c r="F42" s="7"/>
      <c r="G42" s="10"/>
    </row>
    <row r="43" spans="1:7" ht="15.5" x14ac:dyDescent="0.35">
      <c r="A43" s="34"/>
      <c r="B43" s="6"/>
      <c r="C43" s="31"/>
      <c r="D43" s="6"/>
      <c r="E43" s="10" t="s">
        <v>56</v>
      </c>
      <c r="F43" s="7"/>
      <c r="G43" s="10" t="s">
        <v>57</v>
      </c>
    </row>
    <row r="44" spans="1:7" ht="15.5" x14ac:dyDescent="0.35">
      <c r="A44" s="34"/>
      <c r="B44" s="6"/>
      <c r="C44" s="31"/>
      <c r="D44" s="6"/>
      <c r="E44" s="10" t="s">
        <v>77</v>
      </c>
      <c r="F44" s="7"/>
      <c r="G44" s="10"/>
    </row>
    <row r="45" spans="1:7" ht="15.5" x14ac:dyDescent="0.35">
      <c r="A45" s="34"/>
      <c r="B45" s="6"/>
      <c r="C45" s="31"/>
      <c r="D45" s="6"/>
      <c r="E45" s="10" t="s">
        <v>55</v>
      </c>
      <c r="F45" s="7"/>
      <c r="G45" s="10" t="s">
        <v>54</v>
      </c>
    </row>
    <row r="46" spans="1:7" ht="15.5" x14ac:dyDescent="0.35">
      <c r="A46" s="34"/>
      <c r="B46" s="6"/>
      <c r="C46" s="31"/>
      <c r="D46" s="6"/>
      <c r="E46" s="10" t="s">
        <v>78</v>
      </c>
      <c r="F46" s="7"/>
      <c r="G46" s="10"/>
    </row>
    <row r="47" spans="1:7" ht="15.5" x14ac:dyDescent="0.35">
      <c r="A47" s="34"/>
      <c r="B47" s="6"/>
      <c r="C47" s="31"/>
      <c r="D47" s="6"/>
      <c r="E47" s="10" t="s">
        <v>79</v>
      </c>
      <c r="F47" s="7"/>
      <c r="G47" s="10"/>
    </row>
    <row r="48" spans="1:7" ht="15.5" x14ac:dyDescent="0.35">
      <c r="A48" s="34"/>
      <c r="B48" s="6"/>
      <c r="C48" s="31"/>
      <c r="D48" s="6"/>
      <c r="E48" s="10" t="s">
        <v>80</v>
      </c>
      <c r="F48" s="7"/>
      <c r="G48" s="10" t="s">
        <v>105</v>
      </c>
    </row>
    <row r="49" spans="1:7" ht="15.5" x14ac:dyDescent="0.35">
      <c r="A49" s="34"/>
      <c r="B49" s="6"/>
      <c r="C49" s="31"/>
      <c r="D49" s="6"/>
      <c r="E49" s="10" t="s">
        <v>81</v>
      </c>
      <c r="F49" s="7"/>
      <c r="G49" s="10" t="s">
        <v>82</v>
      </c>
    </row>
    <row r="50" spans="1:7" ht="15.5" x14ac:dyDescent="0.35">
      <c r="A50" s="15"/>
      <c r="B50" s="6"/>
      <c r="C50" s="12"/>
      <c r="D50" s="6"/>
      <c r="E50" s="10"/>
      <c r="F50" s="7"/>
      <c r="G50" s="10"/>
    </row>
    <row r="51" spans="1:7" s="4" customFormat="1" ht="2" customHeight="1" x14ac:dyDescent="0.35">
      <c r="A51" s="7"/>
      <c r="B51" s="6"/>
      <c r="C51" s="7"/>
      <c r="D51" s="6"/>
      <c r="E51" s="7"/>
      <c r="F51" s="7"/>
      <c r="G51" s="7"/>
    </row>
    <row r="52" spans="1:7" ht="29" customHeight="1" x14ac:dyDescent="0.35">
      <c r="A52" s="34" t="s">
        <v>73</v>
      </c>
      <c r="B52" s="6"/>
      <c r="C52" s="31" t="s">
        <v>84</v>
      </c>
      <c r="D52" s="6"/>
      <c r="E52" s="32" t="s">
        <v>92</v>
      </c>
      <c r="F52" s="32"/>
      <c r="G52" s="32"/>
    </row>
    <row r="53" spans="1:7" s="4" customFormat="1" ht="2" customHeight="1" x14ac:dyDescent="0.35">
      <c r="A53" s="34"/>
      <c r="B53" s="6"/>
      <c r="C53" s="31"/>
      <c r="D53" s="6"/>
      <c r="E53" s="7"/>
      <c r="F53" s="7"/>
      <c r="G53" s="7"/>
    </row>
    <row r="54" spans="1:7" ht="15.5" x14ac:dyDescent="0.35">
      <c r="A54" s="34"/>
      <c r="B54" s="6"/>
      <c r="C54" s="31"/>
      <c r="D54" s="6"/>
      <c r="E54" s="8" t="s">
        <v>6</v>
      </c>
      <c r="F54" s="9"/>
      <c r="G54" s="8" t="s">
        <v>8</v>
      </c>
    </row>
    <row r="55" spans="1:7" ht="15.5" x14ac:dyDescent="0.35">
      <c r="A55" s="34"/>
      <c r="B55" s="6"/>
      <c r="C55" s="31"/>
      <c r="D55" s="6"/>
      <c r="E55" s="10" t="s">
        <v>85</v>
      </c>
      <c r="F55" s="7"/>
      <c r="G55" s="10" t="s">
        <v>89</v>
      </c>
    </row>
    <row r="56" spans="1:7" ht="15.5" x14ac:dyDescent="0.35">
      <c r="A56" s="34"/>
      <c r="B56" s="6"/>
      <c r="C56" s="31"/>
      <c r="D56" s="6"/>
      <c r="E56" s="10" t="s">
        <v>86</v>
      </c>
      <c r="F56" s="7"/>
      <c r="G56" s="10" t="s">
        <v>88</v>
      </c>
    </row>
    <row r="57" spans="1:7" ht="15.5" x14ac:dyDescent="0.35">
      <c r="A57" s="34"/>
      <c r="B57" s="6"/>
      <c r="C57" s="31"/>
      <c r="D57" s="6"/>
      <c r="E57" s="10" t="s">
        <v>87</v>
      </c>
      <c r="F57" s="7"/>
      <c r="G57" s="10" t="s">
        <v>90</v>
      </c>
    </row>
    <row r="58" spans="1:7" ht="14" customHeight="1" x14ac:dyDescent="0.35">
      <c r="A58" s="15"/>
      <c r="B58" s="6"/>
      <c r="C58" s="12"/>
      <c r="D58" s="6"/>
      <c r="E58" s="10"/>
      <c r="F58" s="7"/>
      <c r="G58" s="10"/>
    </row>
    <row r="59" spans="1:7" s="4" customFormat="1" ht="2" customHeight="1" x14ac:dyDescent="0.35">
      <c r="A59" s="7"/>
      <c r="B59" s="6"/>
      <c r="C59" s="7"/>
      <c r="D59" s="6"/>
      <c r="E59" s="7"/>
      <c r="F59" s="7"/>
      <c r="G59" s="7"/>
    </row>
    <row r="60" spans="1:7" ht="15.5" x14ac:dyDescent="0.35">
      <c r="A60" s="34" t="s">
        <v>74</v>
      </c>
      <c r="B60" s="6"/>
      <c r="C60" s="31" t="s">
        <v>91</v>
      </c>
      <c r="D60" s="6"/>
      <c r="E60" s="32" t="s">
        <v>94</v>
      </c>
      <c r="F60" s="32"/>
      <c r="G60" s="32"/>
    </row>
    <row r="61" spans="1:7" ht="15.5" x14ac:dyDescent="0.35">
      <c r="A61" s="34"/>
      <c r="B61" s="6"/>
      <c r="C61" s="31"/>
      <c r="D61" s="6"/>
      <c r="E61" s="32" t="str">
        <f>" - Numerical value"</f>
        <v xml:space="preserve"> - Numerical value</v>
      </c>
      <c r="F61" s="32"/>
      <c r="G61" s="32"/>
    </row>
    <row r="62" spans="1:7" ht="15.5" x14ac:dyDescent="0.35">
      <c r="A62" s="34"/>
      <c r="B62" s="6"/>
      <c r="C62" s="31"/>
      <c r="D62" s="6"/>
      <c r="E62" s="32" t="str">
        <f>" - Based on system information"</f>
        <v xml:space="preserve"> - Based on system information</v>
      </c>
      <c r="F62" s="32"/>
      <c r="G62" s="32"/>
    </row>
    <row r="63" spans="1:7" ht="15.5" x14ac:dyDescent="0.35">
      <c r="A63" s="34"/>
      <c r="B63" s="6"/>
      <c r="C63" s="31"/>
      <c r="D63" s="6"/>
      <c r="E63" s="32" t="str">
        <f>" - If unknown, value is '0'"</f>
        <v xml:space="preserve"> - If unknown, value is '0'</v>
      </c>
      <c r="F63" s="32"/>
      <c r="G63" s="32"/>
    </row>
    <row r="64" spans="1:7" ht="15.5" x14ac:dyDescent="0.35">
      <c r="A64" s="15"/>
      <c r="B64" s="6"/>
      <c r="C64" s="12"/>
      <c r="D64" s="6"/>
      <c r="E64" s="32"/>
      <c r="F64" s="32"/>
      <c r="G64" s="32"/>
    </row>
    <row r="65" spans="1:7" s="4" customFormat="1" ht="2" customHeight="1" x14ac:dyDescent="0.35">
      <c r="A65" s="7"/>
      <c r="B65" s="6"/>
      <c r="C65" s="7"/>
      <c r="D65" s="6"/>
      <c r="E65" s="7"/>
      <c r="F65" s="7"/>
      <c r="G65" s="7"/>
    </row>
    <row r="66" spans="1:7" ht="15.5" x14ac:dyDescent="0.35">
      <c r="A66" s="34" t="s">
        <v>75</v>
      </c>
      <c r="B66" s="6"/>
      <c r="C66" s="31" t="s">
        <v>253</v>
      </c>
      <c r="D66" s="6"/>
      <c r="E66" s="32" t="s">
        <v>256</v>
      </c>
      <c r="F66" s="32"/>
      <c r="G66" s="32"/>
    </row>
    <row r="67" spans="1:7" ht="15.5" x14ac:dyDescent="0.35">
      <c r="A67" s="34"/>
      <c r="B67" s="6"/>
      <c r="C67" s="31"/>
      <c r="D67" s="6"/>
      <c r="E67" s="32" t="str">
        <f xml:space="preserve"> " - Numerical, comma used as a decimal indicator"</f>
        <v xml:space="preserve"> - Numerical, comma used as a decimal indicator</v>
      </c>
      <c r="F67" s="32"/>
      <c r="G67" s="32"/>
    </row>
    <row r="68" spans="1:7" ht="15.5" x14ac:dyDescent="0.35">
      <c r="A68" s="34"/>
      <c r="B68" s="6"/>
      <c r="C68" s="31"/>
      <c r="D68" s="6"/>
      <c r="E68" s="32" t="str">
        <f>" - Based on system information"</f>
        <v xml:space="preserve"> - Based on system information</v>
      </c>
      <c r="F68" s="32"/>
      <c r="G68" s="32"/>
    </row>
    <row r="69" spans="1:7" ht="15.5" x14ac:dyDescent="0.35">
      <c r="A69" s="34"/>
      <c r="B69" s="6"/>
      <c r="C69" s="31"/>
      <c r="D69" s="6"/>
      <c r="E69" s="32" t="s">
        <v>257</v>
      </c>
      <c r="F69" s="32"/>
      <c r="G69" s="32"/>
    </row>
    <row r="70" spans="1:7" ht="15.5" x14ac:dyDescent="0.35">
      <c r="A70" s="15"/>
      <c r="B70" s="6"/>
      <c r="C70" s="12"/>
      <c r="D70" s="6"/>
      <c r="E70" s="32"/>
      <c r="F70" s="32"/>
      <c r="G70" s="32"/>
    </row>
    <row r="71" spans="1:7" s="4" customFormat="1" ht="2" customHeight="1" x14ac:dyDescent="0.35">
      <c r="A71" s="7"/>
      <c r="B71" s="6"/>
      <c r="C71" s="7"/>
      <c r="D71" s="6"/>
      <c r="E71" s="7"/>
      <c r="F71" s="7"/>
      <c r="G71" s="7"/>
    </row>
    <row r="72" spans="1:7" ht="15.5" x14ac:dyDescent="0.35">
      <c r="A72" s="34" t="s">
        <v>76</v>
      </c>
      <c r="B72" s="6"/>
      <c r="C72" s="31" t="s">
        <v>95</v>
      </c>
      <c r="D72" s="6"/>
      <c r="E72" s="32" t="s">
        <v>96</v>
      </c>
      <c r="F72" s="32"/>
      <c r="G72" s="32"/>
    </row>
    <row r="73" spans="1:7" ht="15.5" x14ac:dyDescent="0.35">
      <c r="A73" s="34"/>
      <c r="B73" s="6"/>
      <c r="C73" s="31"/>
      <c r="D73" s="6"/>
      <c r="E73" s="32" t="str">
        <f>" - If a connector with a change in diameter, largest is noted"</f>
        <v xml:space="preserve"> - If a connector with a change in diameter, largest is noted</v>
      </c>
      <c r="F73" s="32"/>
      <c r="G73" s="32"/>
    </row>
    <row r="74" spans="1:7" ht="15.5" x14ac:dyDescent="0.35">
      <c r="A74" s="34"/>
      <c r="B74" s="6"/>
      <c r="C74" s="31"/>
      <c r="D74" s="6"/>
      <c r="E74" s="32" t="str">
        <f>" - Numerical, comma used as a decimal indicator"</f>
        <v xml:space="preserve"> - Numerical, comma used as a decimal indicator</v>
      </c>
      <c r="F74" s="32"/>
      <c r="G74" s="32"/>
    </row>
    <row r="75" spans="1:7" ht="15.5" x14ac:dyDescent="0.35">
      <c r="A75" s="34"/>
      <c r="B75" s="6"/>
      <c r="C75" s="31"/>
      <c r="D75" s="6"/>
      <c r="E75" s="32" t="str">
        <f>" - Based on system information"</f>
        <v xml:space="preserve"> - Based on system information</v>
      </c>
      <c r="F75" s="32"/>
      <c r="G75" s="32"/>
    </row>
    <row r="76" spans="1:7" ht="15.5" x14ac:dyDescent="0.35">
      <c r="A76" s="34"/>
      <c r="B76" s="6"/>
      <c r="C76" s="31"/>
      <c r="D76" s="6"/>
      <c r="E76" s="32" t="str">
        <f>" - If unknown, value is '-1'"</f>
        <v xml:space="preserve"> - If unknown, value is '-1'</v>
      </c>
      <c r="F76" s="32"/>
      <c r="G76" s="32"/>
    </row>
    <row r="77" spans="1:7" ht="15.5" x14ac:dyDescent="0.35">
      <c r="A77" s="15"/>
      <c r="B77" s="6"/>
      <c r="C77" s="12"/>
      <c r="D77" s="6"/>
      <c r="E77" s="32"/>
      <c r="F77" s="32"/>
      <c r="G77" s="32"/>
    </row>
    <row r="78" spans="1:7" s="4" customFormat="1" ht="2" customHeight="1" x14ac:dyDescent="0.35">
      <c r="A78" s="7"/>
      <c r="B78" s="6"/>
      <c r="C78" s="7"/>
      <c r="D78" s="6"/>
      <c r="E78" s="7"/>
      <c r="F78" s="7"/>
      <c r="G78" s="7"/>
    </row>
    <row r="79" spans="1:7" ht="29" customHeight="1" x14ac:dyDescent="0.35">
      <c r="A79" s="34" t="s">
        <v>58</v>
      </c>
      <c r="B79" s="6"/>
      <c r="C79" s="31" t="s">
        <v>97</v>
      </c>
      <c r="D79" s="6"/>
      <c r="E79" s="32" t="s">
        <v>98</v>
      </c>
      <c r="F79" s="32"/>
      <c r="G79" s="32"/>
    </row>
    <row r="80" spans="1:7" s="4" customFormat="1" ht="2" customHeight="1" x14ac:dyDescent="0.35">
      <c r="A80" s="34"/>
      <c r="B80" s="6"/>
      <c r="C80" s="31"/>
      <c r="D80" s="6"/>
      <c r="E80" s="7"/>
      <c r="F80" s="7"/>
      <c r="G80" s="7"/>
    </row>
    <row r="81" spans="1:7" ht="15.5" x14ac:dyDescent="0.35">
      <c r="A81" s="34"/>
      <c r="B81" s="6"/>
      <c r="C81" s="31"/>
      <c r="D81" s="6"/>
      <c r="E81" s="8" t="s">
        <v>6</v>
      </c>
      <c r="F81" s="9"/>
      <c r="G81" s="8" t="s">
        <v>8</v>
      </c>
    </row>
    <row r="82" spans="1:7" ht="15.5" x14ac:dyDescent="0.35">
      <c r="A82" s="34"/>
      <c r="B82" s="6"/>
      <c r="C82" s="31"/>
      <c r="D82" s="6"/>
      <c r="E82" s="10" t="s">
        <v>99</v>
      </c>
      <c r="F82" s="7"/>
      <c r="G82" s="10" t="s">
        <v>100</v>
      </c>
    </row>
    <row r="83" spans="1:7" ht="15.5" x14ac:dyDescent="0.35">
      <c r="A83" s="34"/>
      <c r="B83" s="6"/>
      <c r="C83" s="31"/>
      <c r="D83" s="6"/>
      <c r="E83" s="10" t="s">
        <v>101</v>
      </c>
      <c r="F83" s="7"/>
      <c r="G83" s="10" t="s">
        <v>102</v>
      </c>
    </row>
    <row r="84" spans="1:7" ht="15.5" x14ac:dyDescent="0.35">
      <c r="A84" s="34"/>
      <c r="B84" s="6"/>
      <c r="C84" s="31"/>
      <c r="D84" s="6"/>
      <c r="E84" s="10" t="s">
        <v>103</v>
      </c>
      <c r="F84" s="7"/>
      <c r="G84" s="10" t="s">
        <v>104</v>
      </c>
    </row>
    <row r="85" spans="1:7" ht="15.5" x14ac:dyDescent="0.35">
      <c r="A85" s="15"/>
      <c r="B85" s="6"/>
      <c r="C85" s="12"/>
      <c r="D85" s="6"/>
      <c r="E85" s="10"/>
      <c r="F85" s="7"/>
      <c r="G85" s="10"/>
    </row>
    <row r="86" spans="1:7" s="4" customFormat="1" ht="2" customHeight="1" x14ac:dyDescent="0.35">
      <c r="A86" s="7"/>
      <c r="B86" s="6"/>
      <c r="C86" s="7"/>
      <c r="D86" s="6"/>
      <c r="E86" s="7"/>
      <c r="F86" s="7"/>
      <c r="G86" s="7"/>
    </row>
    <row r="87" spans="1:7" ht="15.5" x14ac:dyDescent="0.35">
      <c r="A87" s="34" t="s">
        <v>59</v>
      </c>
      <c r="B87" s="6"/>
      <c r="C87" s="31" t="s">
        <v>106</v>
      </c>
      <c r="D87" s="6"/>
      <c r="E87" s="32" t="s">
        <v>107</v>
      </c>
      <c r="F87" s="32"/>
      <c r="G87" s="32"/>
    </row>
    <row r="88" spans="1:7" s="4" customFormat="1" ht="2" customHeight="1" x14ac:dyDescent="0.35">
      <c r="A88" s="34"/>
      <c r="B88" s="6"/>
      <c r="C88" s="31"/>
      <c r="D88" s="6"/>
      <c r="E88" s="7"/>
      <c r="F88" s="7"/>
      <c r="G88" s="7"/>
    </row>
    <row r="89" spans="1:7" ht="15.5" x14ac:dyDescent="0.35">
      <c r="A89" s="34"/>
      <c r="B89" s="6"/>
      <c r="C89" s="31"/>
      <c r="D89" s="6"/>
      <c r="E89" s="8" t="s">
        <v>6</v>
      </c>
      <c r="F89" s="9"/>
      <c r="G89" s="8" t="s">
        <v>8</v>
      </c>
    </row>
    <row r="90" spans="1:7" ht="15.5" x14ac:dyDescent="0.35">
      <c r="A90" s="34"/>
      <c r="B90" s="6"/>
      <c r="C90" s="31"/>
      <c r="D90" s="6"/>
      <c r="E90" s="10" t="s">
        <v>108</v>
      </c>
      <c r="F90" s="7"/>
      <c r="G90" s="10" t="s">
        <v>113</v>
      </c>
    </row>
    <row r="91" spans="1:7" ht="31" x14ac:dyDescent="0.35">
      <c r="A91" s="34"/>
      <c r="B91" s="6"/>
      <c r="C91" s="31"/>
      <c r="D91" s="6"/>
      <c r="E91" s="10" t="s">
        <v>109</v>
      </c>
      <c r="F91" s="7"/>
      <c r="G91" s="10" t="s">
        <v>114</v>
      </c>
    </row>
    <row r="92" spans="1:7" ht="31" x14ac:dyDescent="0.35">
      <c r="A92" s="34"/>
      <c r="B92" s="6"/>
      <c r="C92" s="31"/>
      <c r="D92" s="6"/>
      <c r="E92" s="10" t="s">
        <v>110</v>
      </c>
      <c r="F92" s="7"/>
      <c r="G92" s="10" t="s">
        <v>116</v>
      </c>
    </row>
    <row r="93" spans="1:7" ht="15.5" x14ac:dyDescent="0.35">
      <c r="A93" s="34"/>
      <c r="B93" s="6"/>
      <c r="C93" s="31"/>
      <c r="D93" s="6"/>
      <c r="E93" s="10" t="s">
        <v>111</v>
      </c>
      <c r="F93" s="7"/>
      <c r="G93" s="10" t="s">
        <v>115</v>
      </c>
    </row>
    <row r="94" spans="1:7" ht="15.5" x14ac:dyDescent="0.35">
      <c r="A94" s="34"/>
      <c r="B94" s="6"/>
      <c r="C94" s="31"/>
      <c r="D94" s="6"/>
      <c r="E94" s="10" t="s">
        <v>112</v>
      </c>
      <c r="F94" s="7"/>
      <c r="G94" s="10" t="s">
        <v>118</v>
      </c>
    </row>
    <row r="95" spans="1:7" ht="15.5" x14ac:dyDescent="0.35">
      <c r="A95" s="15"/>
      <c r="B95" s="6"/>
      <c r="C95" s="12"/>
      <c r="D95" s="6"/>
      <c r="E95" s="10"/>
      <c r="F95" s="7"/>
      <c r="G95" s="10"/>
    </row>
    <row r="96" spans="1:7" s="4" customFormat="1" ht="2" customHeight="1" x14ac:dyDescent="0.35">
      <c r="A96" s="7"/>
      <c r="B96" s="6"/>
      <c r="C96" s="7"/>
      <c r="D96" s="6"/>
      <c r="E96" s="7"/>
      <c r="F96" s="7"/>
      <c r="G96" s="7"/>
    </row>
    <row r="97" spans="1:7" ht="15.5" x14ac:dyDescent="0.35">
      <c r="A97" s="34" t="s">
        <v>60</v>
      </c>
      <c r="B97" s="6"/>
      <c r="C97" s="31" t="s">
        <v>117</v>
      </c>
      <c r="D97" s="6"/>
      <c r="E97" s="32" t="s">
        <v>119</v>
      </c>
      <c r="F97" s="32"/>
      <c r="G97" s="32"/>
    </row>
    <row r="98" spans="1:7" ht="15.5" x14ac:dyDescent="0.35">
      <c r="A98" s="34"/>
      <c r="B98" s="6"/>
      <c r="C98" s="31"/>
      <c r="D98" s="6"/>
      <c r="E98" s="32" t="str">
        <f>" - Numerical value"</f>
        <v xml:space="preserve"> - Numerical value</v>
      </c>
      <c r="F98" s="32"/>
      <c r="G98" s="32"/>
    </row>
    <row r="99" spans="1:7" ht="15.5" x14ac:dyDescent="0.35">
      <c r="A99" s="34"/>
      <c r="B99" s="6"/>
      <c r="C99" s="31"/>
      <c r="D99" s="6"/>
      <c r="E99" s="32" t="str">
        <f xml:space="preserve"> " - If unknonw, vaue is '-1'"</f>
        <v xml:space="preserve"> - If unknonw, vaue is '-1'</v>
      </c>
      <c r="F99" s="32"/>
      <c r="G99" s="32"/>
    </row>
    <row r="100" spans="1:7" ht="15.5" x14ac:dyDescent="0.35">
      <c r="A100" s="15"/>
      <c r="B100" s="6"/>
      <c r="C100" s="12"/>
      <c r="D100" s="6"/>
      <c r="E100" s="32"/>
      <c r="F100" s="32"/>
      <c r="G100" s="32"/>
    </row>
    <row r="101" spans="1:7" s="4" customFormat="1" ht="2" customHeight="1" x14ac:dyDescent="0.35">
      <c r="A101" s="7"/>
      <c r="B101" s="6"/>
      <c r="C101" s="7"/>
      <c r="D101" s="6"/>
      <c r="E101" s="7"/>
      <c r="F101" s="7"/>
      <c r="G101" s="7"/>
    </row>
    <row r="102" spans="1:7" ht="31" customHeight="1" x14ac:dyDescent="0.35">
      <c r="A102" s="34" t="s">
        <v>61</v>
      </c>
      <c r="B102" s="6"/>
      <c r="C102" s="31" t="s">
        <v>120</v>
      </c>
      <c r="D102" s="6"/>
      <c r="E102" s="32" t="s">
        <v>121</v>
      </c>
      <c r="F102" s="32"/>
      <c r="G102" s="32"/>
    </row>
    <row r="103" spans="1:7" s="4" customFormat="1" ht="2" customHeight="1" x14ac:dyDescent="0.35">
      <c r="A103" s="34"/>
      <c r="B103" s="6"/>
      <c r="C103" s="31"/>
      <c r="D103" s="6"/>
      <c r="E103" s="7"/>
      <c r="F103" s="7"/>
      <c r="G103" s="7"/>
    </row>
    <row r="104" spans="1:7" ht="15.5" x14ac:dyDescent="0.35">
      <c r="A104" s="34"/>
      <c r="B104" s="6"/>
      <c r="C104" s="31"/>
      <c r="D104" s="6"/>
      <c r="E104" s="8" t="s">
        <v>6</v>
      </c>
      <c r="F104" s="9"/>
      <c r="G104" s="8" t="s">
        <v>8</v>
      </c>
    </row>
    <row r="105" spans="1:7" ht="15.5" x14ac:dyDescent="0.35">
      <c r="A105" s="34"/>
      <c r="B105" s="6"/>
      <c r="C105" s="31"/>
      <c r="D105" s="6"/>
      <c r="E105" s="10" t="s">
        <v>122</v>
      </c>
      <c r="F105" s="7"/>
      <c r="G105" s="10" t="s">
        <v>123</v>
      </c>
    </row>
    <row r="106" spans="1:7" ht="15.5" x14ac:dyDescent="0.35">
      <c r="A106" s="34"/>
      <c r="B106" s="6"/>
      <c r="C106" s="31"/>
      <c r="D106" s="6"/>
      <c r="E106" s="10" t="s">
        <v>124</v>
      </c>
      <c r="F106" s="7"/>
      <c r="G106" s="10" t="s">
        <v>125</v>
      </c>
    </row>
    <row r="107" spans="1:7" ht="15.5" x14ac:dyDescent="0.35">
      <c r="A107" s="34"/>
      <c r="B107" s="6"/>
      <c r="C107" s="31"/>
      <c r="D107" s="6"/>
      <c r="E107" s="10" t="s">
        <v>126</v>
      </c>
      <c r="F107" s="7"/>
      <c r="G107" s="10" t="s">
        <v>127</v>
      </c>
    </row>
    <row r="108" spans="1:7" ht="15.5" x14ac:dyDescent="0.35">
      <c r="A108" s="15"/>
      <c r="B108" s="6"/>
      <c r="C108" s="12"/>
      <c r="D108" s="6"/>
      <c r="E108" s="10"/>
      <c r="F108" s="7"/>
      <c r="G108" s="10"/>
    </row>
    <row r="109" spans="1:7" s="4" customFormat="1" ht="2" customHeight="1" x14ac:dyDescent="0.35">
      <c r="A109" s="7"/>
      <c r="B109" s="6"/>
      <c r="C109" s="7"/>
      <c r="D109" s="6"/>
      <c r="E109" s="7"/>
      <c r="F109" s="7"/>
      <c r="G109" s="7"/>
    </row>
    <row r="110" spans="1:7" ht="15.5" x14ac:dyDescent="0.35">
      <c r="A110" s="34" t="s">
        <v>62</v>
      </c>
      <c r="B110" s="6"/>
      <c r="C110" s="31" t="s">
        <v>128</v>
      </c>
      <c r="D110" s="6"/>
      <c r="E110" s="32" t="s">
        <v>131</v>
      </c>
      <c r="F110" s="32"/>
      <c r="G110" s="32"/>
    </row>
    <row r="111" spans="1:7" ht="15.5" x14ac:dyDescent="0.35">
      <c r="A111" s="34"/>
      <c r="B111" s="6"/>
      <c r="C111" s="31"/>
      <c r="D111" s="6"/>
      <c r="E111" s="32" t="s">
        <v>258</v>
      </c>
      <c r="F111" s="32"/>
      <c r="G111" s="32"/>
    </row>
    <row r="112" spans="1:7" ht="15.5" x14ac:dyDescent="0.35">
      <c r="A112" s="34"/>
      <c r="B112" s="6"/>
      <c r="C112" s="31"/>
      <c r="D112" s="6"/>
      <c r="E112" s="32" t="s">
        <v>259</v>
      </c>
      <c r="F112" s="32"/>
      <c r="G112" s="32"/>
    </row>
    <row r="113" spans="1:7" ht="15.5" x14ac:dyDescent="0.35">
      <c r="A113" s="34"/>
      <c r="B113" s="6"/>
      <c r="C113" s="31"/>
      <c r="D113" s="6"/>
      <c r="E113" s="32" t="s">
        <v>260</v>
      </c>
      <c r="F113" s="32"/>
      <c r="G113" s="32"/>
    </row>
    <row r="114" spans="1:7" ht="15.5" x14ac:dyDescent="0.35">
      <c r="A114" s="15"/>
      <c r="B114" s="6"/>
      <c r="C114" s="12"/>
      <c r="D114" s="6"/>
      <c r="E114" s="32"/>
      <c r="F114" s="32"/>
      <c r="G114" s="32"/>
    </row>
    <row r="115" spans="1:7" s="4" customFormat="1" ht="2" customHeight="1" x14ac:dyDescent="0.35">
      <c r="A115" s="7"/>
      <c r="B115" s="6"/>
      <c r="C115" s="7"/>
      <c r="D115" s="6"/>
      <c r="E115" s="7"/>
      <c r="F115" s="7"/>
      <c r="G115" s="7"/>
    </row>
    <row r="116" spans="1:7" ht="15.5" x14ac:dyDescent="0.35">
      <c r="A116" s="34" t="s">
        <v>63</v>
      </c>
      <c r="B116" s="6"/>
      <c r="C116" s="31" t="s">
        <v>129</v>
      </c>
      <c r="D116" s="6"/>
      <c r="E116" s="32" t="s">
        <v>130</v>
      </c>
      <c r="F116" s="32"/>
      <c r="G116" s="32"/>
    </row>
    <row r="117" spans="1:7" ht="15.5" x14ac:dyDescent="0.35">
      <c r="A117" s="34"/>
      <c r="B117" s="6"/>
      <c r="C117" s="31"/>
      <c r="D117" s="6"/>
      <c r="E117" s="32" t="s">
        <v>258</v>
      </c>
      <c r="F117" s="32"/>
      <c r="G117" s="32"/>
    </row>
    <row r="118" spans="1:7" ht="16" customHeight="1" x14ac:dyDescent="0.35">
      <c r="A118" s="34"/>
      <c r="B118" s="6"/>
      <c r="C118" s="31"/>
      <c r="D118" s="6"/>
      <c r="E118" s="32" t="s">
        <v>259</v>
      </c>
      <c r="F118" s="32"/>
      <c r="G118" s="32"/>
    </row>
    <row r="119" spans="1:7" ht="15.5" x14ac:dyDescent="0.35">
      <c r="A119" s="34"/>
      <c r="B119" s="6"/>
      <c r="C119" s="31"/>
      <c r="D119" s="6"/>
      <c r="E119" s="32" t="s">
        <v>260</v>
      </c>
      <c r="F119" s="32"/>
      <c r="G119" s="32"/>
    </row>
    <row r="120" spans="1:7" ht="15.5" x14ac:dyDescent="0.35">
      <c r="A120" s="15"/>
      <c r="B120" s="6"/>
      <c r="C120" s="12"/>
      <c r="D120" s="6"/>
      <c r="E120" s="32"/>
      <c r="F120" s="32"/>
      <c r="G120" s="32"/>
    </row>
    <row r="121" spans="1:7" s="4" customFormat="1" ht="2" customHeight="1" x14ac:dyDescent="0.35">
      <c r="A121" s="7"/>
      <c r="B121" s="6"/>
      <c r="C121" s="7"/>
      <c r="D121" s="6"/>
      <c r="E121" s="7"/>
      <c r="F121" s="7"/>
      <c r="G121" s="7"/>
    </row>
    <row r="122" spans="1:7" ht="15.5" x14ac:dyDescent="0.35">
      <c r="A122" s="34" t="s">
        <v>64</v>
      </c>
      <c r="B122" s="6"/>
      <c r="C122" s="31" t="s">
        <v>132</v>
      </c>
      <c r="D122" s="6"/>
      <c r="E122" s="32" t="s">
        <v>164</v>
      </c>
      <c r="F122" s="32"/>
      <c r="G122" s="32"/>
    </row>
    <row r="123" spans="1:7" ht="15.5" x14ac:dyDescent="0.35">
      <c r="A123" s="34"/>
      <c r="B123" s="6"/>
      <c r="C123" s="31"/>
      <c r="D123" s="6"/>
      <c r="E123" s="32" t="s">
        <v>261</v>
      </c>
      <c r="F123" s="32"/>
      <c r="G123" s="32"/>
    </row>
    <row r="124" spans="1:7" s="4" customFormat="1" ht="2" customHeight="1" x14ac:dyDescent="0.35">
      <c r="A124" s="34"/>
      <c r="B124" s="6"/>
      <c r="C124" s="31"/>
      <c r="D124" s="6"/>
      <c r="E124" s="7"/>
      <c r="F124" s="7"/>
      <c r="G124" s="7"/>
    </row>
    <row r="125" spans="1:7" ht="15.5" x14ac:dyDescent="0.35">
      <c r="A125" s="34"/>
      <c r="B125" s="6"/>
      <c r="C125" s="31"/>
      <c r="D125" s="6"/>
      <c r="E125" s="8" t="s">
        <v>6</v>
      </c>
      <c r="F125" s="9"/>
      <c r="G125" s="8" t="s">
        <v>8</v>
      </c>
    </row>
    <row r="126" spans="1:7" ht="15.5" x14ac:dyDescent="0.35">
      <c r="A126" s="34"/>
      <c r="B126" s="6"/>
      <c r="C126" s="31"/>
      <c r="D126" s="6"/>
      <c r="E126" s="10" t="s">
        <v>133</v>
      </c>
      <c r="F126" s="7"/>
      <c r="G126" s="10" t="s">
        <v>134</v>
      </c>
    </row>
    <row r="127" spans="1:7" ht="15.5" x14ac:dyDescent="0.35">
      <c r="A127" s="34"/>
      <c r="B127" s="6"/>
      <c r="C127" s="31"/>
      <c r="D127" s="6"/>
      <c r="E127" s="10" t="s">
        <v>135</v>
      </c>
      <c r="F127" s="7"/>
      <c r="G127" s="10" t="s">
        <v>136</v>
      </c>
    </row>
    <row r="128" spans="1:7" ht="15.5" x14ac:dyDescent="0.35">
      <c r="A128" s="34"/>
      <c r="B128" s="6"/>
      <c r="C128" s="31"/>
      <c r="D128" s="6"/>
      <c r="E128" s="10" t="s">
        <v>137</v>
      </c>
      <c r="F128" s="7"/>
      <c r="G128" s="10" t="s">
        <v>138</v>
      </c>
    </row>
    <row r="129" spans="1:7" ht="15.5" x14ac:dyDescent="0.35">
      <c r="A129" s="34"/>
      <c r="B129" s="6"/>
      <c r="C129" s="31"/>
      <c r="D129" s="6"/>
      <c r="E129" s="10" t="s">
        <v>139</v>
      </c>
      <c r="F129" s="7"/>
      <c r="G129" s="10" t="s">
        <v>104</v>
      </c>
    </row>
    <row r="130" spans="1:7" ht="15.5" x14ac:dyDescent="0.35">
      <c r="A130" s="15"/>
      <c r="B130" s="6"/>
      <c r="C130" s="12"/>
      <c r="D130" s="6"/>
      <c r="E130" s="10"/>
      <c r="F130" s="7"/>
      <c r="G130" s="10"/>
    </row>
    <row r="131" spans="1:7" s="4" customFormat="1" ht="2" customHeight="1" x14ac:dyDescent="0.35">
      <c r="A131" s="7"/>
      <c r="B131" s="6"/>
      <c r="C131" s="7"/>
      <c r="D131" s="6"/>
      <c r="E131" s="7"/>
      <c r="F131" s="7"/>
      <c r="G131" s="7"/>
    </row>
    <row r="132" spans="1:7" ht="15.5" x14ac:dyDescent="0.35">
      <c r="A132" s="34" t="s">
        <v>65</v>
      </c>
      <c r="B132" s="6"/>
      <c r="C132" s="31" t="s">
        <v>140</v>
      </c>
      <c r="D132" s="6"/>
      <c r="E132" s="32" t="s">
        <v>141</v>
      </c>
      <c r="F132" s="32"/>
      <c r="G132" s="32"/>
    </row>
    <row r="133" spans="1:7" ht="15.5" x14ac:dyDescent="0.35">
      <c r="A133" s="34"/>
      <c r="B133" s="6"/>
      <c r="C133" s="31"/>
      <c r="D133" s="6"/>
      <c r="E133" s="32" t="s">
        <v>262</v>
      </c>
      <c r="F133" s="32"/>
      <c r="G133" s="32"/>
    </row>
    <row r="134" spans="1:7" s="4" customFormat="1" ht="2" customHeight="1" x14ac:dyDescent="0.35">
      <c r="A134" s="34"/>
      <c r="B134" s="6"/>
      <c r="C134" s="31"/>
      <c r="D134" s="6"/>
      <c r="E134" s="7"/>
      <c r="F134" s="7"/>
      <c r="G134" s="7"/>
    </row>
    <row r="135" spans="1:7" ht="15.5" x14ac:dyDescent="0.35">
      <c r="A135" s="34"/>
      <c r="B135" s="6"/>
      <c r="C135" s="31"/>
      <c r="D135" s="6"/>
      <c r="E135" s="8" t="s">
        <v>6</v>
      </c>
      <c r="F135" s="9"/>
      <c r="G135" s="8" t="s">
        <v>8</v>
      </c>
    </row>
    <row r="136" spans="1:7" ht="15.5" x14ac:dyDescent="0.35">
      <c r="A136" s="34"/>
      <c r="B136" s="6"/>
      <c r="C136" s="31"/>
      <c r="D136" s="6"/>
      <c r="E136" s="10" t="s">
        <v>142</v>
      </c>
      <c r="F136" s="7"/>
      <c r="G136" s="10" t="s">
        <v>143</v>
      </c>
    </row>
    <row r="137" spans="1:7" ht="15.5" x14ac:dyDescent="0.35">
      <c r="A137" s="34"/>
      <c r="B137" s="6"/>
      <c r="C137" s="31"/>
      <c r="D137" s="6"/>
      <c r="E137" s="10" t="s">
        <v>144</v>
      </c>
      <c r="F137" s="7"/>
      <c r="G137" s="10" t="s">
        <v>147</v>
      </c>
    </row>
    <row r="138" spans="1:7" ht="15.5" x14ac:dyDescent="0.35">
      <c r="A138" s="34"/>
      <c r="B138" s="6"/>
      <c r="C138" s="31"/>
      <c r="D138" s="6"/>
      <c r="E138" s="10" t="s">
        <v>145</v>
      </c>
      <c r="F138" s="7"/>
      <c r="G138" s="10" t="s">
        <v>146</v>
      </c>
    </row>
    <row r="139" spans="1:7" ht="15.5" x14ac:dyDescent="0.35">
      <c r="A139" s="15"/>
      <c r="B139" s="6"/>
      <c r="C139" s="12"/>
      <c r="D139" s="6"/>
      <c r="E139" s="10"/>
      <c r="F139" s="7"/>
      <c r="G139" s="10"/>
    </row>
    <row r="140" spans="1:7" s="4" customFormat="1" ht="2" customHeight="1" x14ac:dyDescent="0.35">
      <c r="A140" s="7"/>
      <c r="B140" s="6"/>
      <c r="C140" s="7"/>
      <c r="D140" s="6"/>
      <c r="E140" s="7"/>
      <c r="F140" s="7"/>
      <c r="G140" s="7"/>
    </row>
    <row r="141" spans="1:7" ht="15.5" x14ac:dyDescent="0.35">
      <c r="A141" s="34" t="s">
        <v>66</v>
      </c>
      <c r="B141" s="6"/>
      <c r="C141" s="31" t="s">
        <v>154</v>
      </c>
      <c r="D141" s="6"/>
      <c r="E141" s="32" t="s">
        <v>148</v>
      </c>
      <c r="F141" s="32"/>
      <c r="G141" s="32"/>
    </row>
    <row r="142" spans="1:7" ht="15.5" x14ac:dyDescent="0.35">
      <c r="A142" s="34"/>
      <c r="B142" s="6"/>
      <c r="C142" s="31"/>
      <c r="D142" s="6"/>
      <c r="E142" s="32" t="s">
        <v>263</v>
      </c>
      <c r="F142" s="32"/>
      <c r="G142" s="32"/>
    </row>
    <row r="143" spans="1:7" ht="15.5" x14ac:dyDescent="0.35">
      <c r="A143" s="34"/>
      <c r="B143" s="6"/>
      <c r="C143" s="31"/>
      <c r="D143" s="6"/>
      <c r="E143" s="32" t="s">
        <v>261</v>
      </c>
      <c r="F143" s="32"/>
      <c r="G143" s="32"/>
    </row>
    <row r="144" spans="1:7" s="4" customFormat="1" ht="2" customHeight="1" x14ac:dyDescent="0.35">
      <c r="A144" s="34"/>
      <c r="B144" s="6"/>
      <c r="C144" s="31"/>
      <c r="D144" s="6"/>
      <c r="E144" s="7"/>
      <c r="F144" s="7"/>
      <c r="G144" s="7"/>
    </row>
    <row r="145" spans="1:7" ht="15.5" x14ac:dyDescent="0.35">
      <c r="A145" s="34"/>
      <c r="B145" s="6"/>
      <c r="C145" s="31"/>
      <c r="D145" s="6"/>
      <c r="E145" s="8" t="s">
        <v>6</v>
      </c>
      <c r="F145" s="9"/>
      <c r="G145" s="8" t="s">
        <v>8</v>
      </c>
    </row>
    <row r="146" spans="1:7" ht="15.5" x14ac:dyDescent="0.35">
      <c r="A146" s="34"/>
      <c r="B146" s="6"/>
      <c r="C146" s="31"/>
      <c r="D146" s="6"/>
      <c r="E146" s="10" t="s">
        <v>149</v>
      </c>
      <c r="F146" s="7"/>
      <c r="G146" s="10" t="s">
        <v>150</v>
      </c>
    </row>
    <row r="147" spans="1:7" ht="15.5" x14ac:dyDescent="0.35">
      <c r="A147" s="34"/>
      <c r="B147" s="6"/>
      <c r="C147" s="31"/>
      <c r="D147" s="6"/>
      <c r="E147" s="10" t="s">
        <v>151</v>
      </c>
      <c r="F147" s="7"/>
      <c r="G147" s="10" t="s">
        <v>152</v>
      </c>
    </row>
    <row r="148" spans="1:7" ht="15.5" x14ac:dyDescent="0.35">
      <c r="A148" s="34"/>
      <c r="B148" s="6"/>
      <c r="C148" s="31"/>
      <c r="D148" s="6"/>
      <c r="E148" s="10" t="s">
        <v>153</v>
      </c>
      <c r="F148" s="7"/>
      <c r="G148" s="10" t="s">
        <v>104</v>
      </c>
    </row>
    <row r="149" spans="1:7" ht="15.5" x14ac:dyDescent="0.35">
      <c r="A149" s="15"/>
      <c r="B149" s="6"/>
      <c r="C149" s="12"/>
      <c r="D149" s="6"/>
      <c r="E149" s="10"/>
      <c r="F149" s="7"/>
      <c r="G149" s="10"/>
    </row>
    <row r="150" spans="1:7" s="4" customFormat="1" ht="2" customHeight="1" x14ac:dyDescent="0.35">
      <c r="A150" s="7"/>
      <c r="B150" s="6"/>
      <c r="C150" s="7"/>
      <c r="D150" s="6"/>
      <c r="E150" s="7"/>
      <c r="F150" s="7"/>
      <c r="G150" s="7"/>
    </row>
    <row r="151" spans="1:7" ht="15.5" x14ac:dyDescent="0.35">
      <c r="A151" s="34" t="s">
        <v>67</v>
      </c>
      <c r="B151" s="6"/>
      <c r="C151" s="31" t="s">
        <v>155</v>
      </c>
      <c r="D151" s="6"/>
      <c r="E151" s="32" t="s">
        <v>156</v>
      </c>
      <c r="F151" s="32"/>
      <c r="G151" s="32"/>
    </row>
    <row r="152" spans="1:7" ht="15.5" x14ac:dyDescent="0.35">
      <c r="A152" s="34"/>
      <c r="B152" s="6"/>
      <c r="C152" s="31"/>
      <c r="D152" s="6"/>
      <c r="E152" s="32" t="s">
        <v>261</v>
      </c>
      <c r="F152" s="32"/>
      <c r="G152" s="32"/>
    </row>
    <row r="153" spans="1:7" s="4" customFormat="1" ht="2" customHeight="1" x14ac:dyDescent="0.35">
      <c r="A153" s="34"/>
      <c r="B153" s="6"/>
      <c r="C153" s="31"/>
      <c r="D153" s="6"/>
      <c r="E153" s="7"/>
      <c r="F153" s="7"/>
      <c r="G153" s="7"/>
    </row>
    <row r="154" spans="1:7" ht="15.5" x14ac:dyDescent="0.35">
      <c r="A154" s="34"/>
      <c r="B154" s="6"/>
      <c r="C154" s="31"/>
      <c r="D154" s="6"/>
      <c r="E154" s="8" t="s">
        <v>6</v>
      </c>
      <c r="F154" s="9"/>
      <c r="G154" s="8" t="s">
        <v>8</v>
      </c>
    </row>
    <row r="155" spans="1:7" ht="15.5" x14ac:dyDescent="0.35">
      <c r="A155" s="34"/>
      <c r="B155" s="6"/>
      <c r="C155" s="31"/>
      <c r="D155" s="6"/>
      <c r="E155" s="10" t="s">
        <v>157</v>
      </c>
      <c r="F155" s="7"/>
      <c r="G155" s="10" t="s">
        <v>162</v>
      </c>
    </row>
    <row r="156" spans="1:7" ht="15.5" x14ac:dyDescent="0.35">
      <c r="A156" s="34"/>
      <c r="B156" s="6"/>
      <c r="C156" s="31"/>
      <c r="D156" s="6"/>
      <c r="E156" s="10" t="s">
        <v>158</v>
      </c>
      <c r="F156" s="7"/>
      <c r="G156" s="10" t="s">
        <v>161</v>
      </c>
    </row>
    <row r="157" spans="1:7" ht="15.5" x14ac:dyDescent="0.35">
      <c r="A157" s="34"/>
      <c r="B157" s="6"/>
      <c r="C157" s="31"/>
      <c r="D157" s="6"/>
      <c r="E157" s="10" t="s">
        <v>159</v>
      </c>
      <c r="F157" s="7"/>
      <c r="G157" s="10" t="s">
        <v>160</v>
      </c>
    </row>
    <row r="158" spans="1:7" ht="15.5" x14ac:dyDescent="0.35">
      <c r="A158" s="15"/>
      <c r="B158" s="6"/>
      <c r="C158" s="12"/>
      <c r="D158" s="6"/>
      <c r="E158" s="10"/>
      <c r="F158" s="7"/>
      <c r="G158" s="10"/>
    </row>
    <row r="159" spans="1:7" s="4" customFormat="1" ht="2" customHeight="1" x14ac:dyDescent="0.35">
      <c r="A159" s="7"/>
      <c r="B159" s="6"/>
      <c r="C159" s="7"/>
      <c r="D159" s="6"/>
      <c r="E159" s="7"/>
      <c r="F159" s="7"/>
      <c r="G159" s="7"/>
    </row>
    <row r="160" spans="1:7" ht="38" customHeight="1" x14ac:dyDescent="0.35">
      <c r="A160" s="34" t="s">
        <v>68</v>
      </c>
      <c r="B160" s="6"/>
      <c r="C160" s="31" t="s">
        <v>163</v>
      </c>
      <c r="D160" s="6"/>
      <c r="E160" s="32" t="s">
        <v>264</v>
      </c>
      <c r="F160" s="32"/>
      <c r="G160" s="32"/>
    </row>
    <row r="161" spans="1:7" s="4" customFormat="1" ht="2" customHeight="1" x14ac:dyDescent="0.35">
      <c r="A161" s="34"/>
      <c r="B161" s="6"/>
      <c r="C161" s="31"/>
      <c r="D161" s="6"/>
      <c r="E161" s="7"/>
      <c r="F161" s="7"/>
      <c r="G161" s="7"/>
    </row>
    <row r="162" spans="1:7" ht="15.5" x14ac:dyDescent="0.35">
      <c r="A162" s="34"/>
      <c r="B162" s="6"/>
      <c r="C162" s="31"/>
      <c r="D162" s="6"/>
      <c r="E162" s="8" t="s">
        <v>6</v>
      </c>
      <c r="F162" s="9"/>
      <c r="G162" s="8" t="s">
        <v>8</v>
      </c>
    </row>
    <row r="163" spans="1:7" ht="15.5" x14ac:dyDescent="0.35">
      <c r="A163" s="34"/>
      <c r="B163" s="6"/>
      <c r="C163" s="31"/>
      <c r="D163" s="6"/>
      <c r="E163" s="10" t="s">
        <v>171</v>
      </c>
      <c r="F163" s="7"/>
      <c r="G163" s="10"/>
    </row>
    <row r="164" spans="1:7" ht="15.5" x14ac:dyDescent="0.35">
      <c r="A164" s="34"/>
      <c r="B164" s="6"/>
      <c r="C164" s="31"/>
      <c r="D164" s="6"/>
      <c r="E164" s="10" t="s">
        <v>165</v>
      </c>
      <c r="F164" s="7"/>
      <c r="G164" s="10" t="s">
        <v>193</v>
      </c>
    </row>
    <row r="165" spans="1:7" ht="15.5" x14ac:dyDescent="0.35">
      <c r="A165" s="34"/>
      <c r="B165" s="6"/>
      <c r="C165" s="31"/>
      <c r="D165" s="6"/>
      <c r="E165" s="10" t="s">
        <v>166</v>
      </c>
      <c r="F165" s="7"/>
      <c r="G165" s="10" t="s">
        <v>192</v>
      </c>
    </row>
    <row r="166" spans="1:7" ht="15.5" x14ac:dyDescent="0.35">
      <c r="A166" s="34"/>
      <c r="B166" s="6"/>
      <c r="C166" s="31"/>
      <c r="D166" s="6"/>
      <c r="E166" s="10" t="s">
        <v>167</v>
      </c>
      <c r="F166" s="7"/>
      <c r="G166" s="10" t="s">
        <v>191</v>
      </c>
    </row>
    <row r="167" spans="1:7" ht="15.5" x14ac:dyDescent="0.35">
      <c r="A167" s="34"/>
      <c r="B167" s="6"/>
      <c r="C167" s="31"/>
      <c r="D167" s="6"/>
      <c r="E167" s="10" t="s">
        <v>168</v>
      </c>
      <c r="F167" s="7"/>
      <c r="G167" s="10" t="s">
        <v>185</v>
      </c>
    </row>
    <row r="168" spans="1:7" ht="15.5" x14ac:dyDescent="0.35">
      <c r="A168" s="34"/>
      <c r="B168" s="6"/>
      <c r="C168" s="31"/>
      <c r="D168" s="6"/>
      <c r="E168" s="10" t="s">
        <v>169</v>
      </c>
      <c r="F168" s="7"/>
      <c r="G168" s="10" t="s">
        <v>82</v>
      </c>
    </row>
    <row r="169" spans="1:7" ht="15.5" x14ac:dyDescent="0.35">
      <c r="A169" s="34"/>
      <c r="B169" s="6"/>
      <c r="C169" s="31"/>
      <c r="D169" s="6"/>
      <c r="E169" s="10"/>
      <c r="F169" s="7"/>
      <c r="G169" s="10"/>
    </row>
    <row r="170" spans="1:7" ht="15.5" x14ac:dyDescent="0.35">
      <c r="A170" s="34"/>
      <c r="B170" s="6"/>
      <c r="C170" s="31"/>
      <c r="D170" s="6"/>
      <c r="E170" s="10" t="s">
        <v>170</v>
      </c>
      <c r="F170" s="7"/>
      <c r="G170" s="10"/>
    </row>
    <row r="171" spans="1:7" ht="15.5" x14ac:dyDescent="0.35">
      <c r="A171" s="34"/>
      <c r="B171" s="6"/>
      <c r="C171" s="31"/>
      <c r="D171" s="6"/>
      <c r="E171" s="10" t="s">
        <v>172</v>
      </c>
      <c r="F171" s="7"/>
      <c r="G171" s="10" t="s">
        <v>190</v>
      </c>
    </row>
    <row r="172" spans="1:7" ht="15.5" x14ac:dyDescent="0.35">
      <c r="A172" s="34"/>
      <c r="B172" s="6"/>
      <c r="C172" s="31"/>
      <c r="D172" s="6"/>
      <c r="E172" s="10" t="s">
        <v>173</v>
      </c>
      <c r="F172" s="7"/>
      <c r="G172" s="10" t="s">
        <v>189</v>
      </c>
    </row>
    <row r="173" spans="1:7" ht="15.5" x14ac:dyDescent="0.35">
      <c r="A173" s="34"/>
      <c r="B173" s="6"/>
      <c r="C173" s="31"/>
      <c r="D173" s="6"/>
      <c r="E173" s="10" t="s">
        <v>174</v>
      </c>
      <c r="F173" s="7"/>
      <c r="G173" s="10" t="s">
        <v>188</v>
      </c>
    </row>
    <row r="174" spans="1:7" ht="15.5" x14ac:dyDescent="0.35">
      <c r="A174" s="34"/>
      <c r="B174" s="6"/>
      <c r="C174" s="31"/>
      <c r="D174" s="6"/>
      <c r="E174" s="10" t="s">
        <v>175</v>
      </c>
      <c r="F174" s="7"/>
      <c r="G174" s="10" t="s">
        <v>187</v>
      </c>
    </row>
    <row r="175" spans="1:7" ht="15.5" x14ac:dyDescent="0.35">
      <c r="A175" s="34"/>
      <c r="B175" s="6"/>
      <c r="C175" s="31"/>
      <c r="D175" s="6"/>
      <c r="E175" s="10" t="s">
        <v>177</v>
      </c>
      <c r="F175" s="7"/>
      <c r="G175" s="10" t="s">
        <v>186</v>
      </c>
    </row>
    <row r="176" spans="1:7" ht="15.5" x14ac:dyDescent="0.35">
      <c r="A176" s="34"/>
      <c r="B176" s="6"/>
      <c r="C176" s="31"/>
      <c r="D176" s="6"/>
      <c r="E176" s="10" t="s">
        <v>176</v>
      </c>
      <c r="F176" s="7"/>
      <c r="G176" s="10" t="s">
        <v>82</v>
      </c>
    </row>
    <row r="177" spans="1:7" ht="15.5" x14ac:dyDescent="0.35">
      <c r="A177" s="34"/>
      <c r="B177" s="6"/>
      <c r="C177" s="31"/>
      <c r="D177" s="6"/>
      <c r="E177" s="10"/>
      <c r="F177" s="7"/>
      <c r="G177" s="10"/>
    </row>
    <row r="178" spans="1:7" ht="15.5" x14ac:dyDescent="0.35">
      <c r="A178" s="34"/>
      <c r="B178" s="6"/>
      <c r="C178" s="31"/>
      <c r="D178" s="6"/>
      <c r="E178" s="10" t="s">
        <v>178</v>
      </c>
      <c r="F178" s="7"/>
      <c r="G178" s="10"/>
    </row>
    <row r="179" spans="1:7" ht="15.5" x14ac:dyDescent="0.35">
      <c r="A179" s="34"/>
      <c r="B179" s="6"/>
      <c r="C179" s="31"/>
      <c r="D179" s="6"/>
      <c r="E179" s="10" t="s">
        <v>179</v>
      </c>
      <c r="F179" s="7"/>
      <c r="G179" s="10" t="s">
        <v>185</v>
      </c>
    </row>
    <row r="180" spans="1:7" ht="15.5" x14ac:dyDescent="0.35">
      <c r="A180" s="34"/>
      <c r="B180" s="6"/>
      <c r="C180" s="31"/>
      <c r="D180" s="6"/>
      <c r="E180" s="10" t="s">
        <v>180</v>
      </c>
      <c r="F180" s="7"/>
      <c r="G180" s="10" t="s">
        <v>184</v>
      </c>
    </row>
    <row r="181" spans="1:7" ht="15.5" x14ac:dyDescent="0.35">
      <c r="A181" s="34"/>
      <c r="B181" s="6"/>
      <c r="C181" s="31"/>
      <c r="D181" s="6"/>
      <c r="E181" s="10" t="s">
        <v>181</v>
      </c>
      <c r="F181" s="7"/>
      <c r="G181" s="10" t="s">
        <v>183</v>
      </c>
    </row>
    <row r="182" spans="1:7" ht="15.5" x14ac:dyDescent="0.35">
      <c r="A182" s="34"/>
      <c r="B182" s="6"/>
      <c r="C182" s="31"/>
      <c r="D182" s="6"/>
      <c r="E182" s="10" t="s">
        <v>182</v>
      </c>
      <c r="F182" s="7"/>
      <c r="G182" s="10" t="s">
        <v>82</v>
      </c>
    </row>
    <row r="183" spans="1:7" ht="15.5" x14ac:dyDescent="0.35">
      <c r="A183" s="15"/>
      <c r="B183" s="6"/>
      <c r="C183" s="12"/>
      <c r="D183" s="6"/>
      <c r="E183" s="10"/>
      <c r="F183" s="7"/>
      <c r="G183" s="10"/>
    </row>
    <row r="184" spans="1:7" s="4" customFormat="1" ht="2" customHeight="1" x14ac:dyDescent="0.35">
      <c r="A184" s="7"/>
      <c r="B184" s="6"/>
      <c r="C184" s="7"/>
      <c r="D184" s="6"/>
      <c r="E184" s="7"/>
      <c r="F184" s="7"/>
      <c r="G184" s="7"/>
    </row>
    <row r="185" spans="1:7" ht="22.5" customHeight="1" x14ac:dyDescent="0.35">
      <c r="A185" s="34" t="s">
        <v>69</v>
      </c>
      <c r="B185" s="6"/>
      <c r="C185" s="31" t="s">
        <v>194</v>
      </c>
      <c r="D185" s="6"/>
      <c r="E185" s="32" t="s">
        <v>195</v>
      </c>
      <c r="F185" s="32"/>
      <c r="G185" s="32"/>
    </row>
    <row r="186" spans="1:7" s="4" customFormat="1" ht="2" customHeight="1" x14ac:dyDescent="0.35">
      <c r="A186" s="34"/>
      <c r="B186" s="6"/>
      <c r="C186" s="31"/>
      <c r="D186" s="6"/>
      <c r="E186" s="7"/>
      <c r="F186" s="7"/>
      <c r="G186" s="7"/>
    </row>
    <row r="187" spans="1:7" ht="15.5" x14ac:dyDescent="0.35">
      <c r="A187" s="34"/>
      <c r="B187" s="6"/>
      <c r="C187" s="31"/>
      <c r="D187" s="6"/>
      <c r="E187" s="8" t="s">
        <v>6</v>
      </c>
      <c r="F187" s="9"/>
      <c r="G187" s="8" t="s">
        <v>8</v>
      </c>
    </row>
    <row r="188" spans="1:7" ht="15.5" x14ac:dyDescent="0.35">
      <c r="A188" s="34"/>
      <c r="B188" s="6"/>
      <c r="C188" s="31"/>
      <c r="D188" s="6"/>
      <c r="E188" s="10" t="s">
        <v>196</v>
      </c>
      <c r="F188" s="7"/>
      <c r="G188" s="10"/>
    </row>
    <row r="189" spans="1:7" ht="15.5" x14ac:dyDescent="0.35">
      <c r="A189" s="34"/>
      <c r="B189" s="6"/>
      <c r="C189" s="31"/>
      <c r="D189" s="6"/>
      <c r="E189" s="10" t="s">
        <v>197</v>
      </c>
      <c r="F189" s="7"/>
      <c r="G189" s="10" t="s">
        <v>213</v>
      </c>
    </row>
    <row r="190" spans="1:7" ht="15.5" x14ac:dyDescent="0.35">
      <c r="A190" s="34"/>
      <c r="B190" s="6"/>
      <c r="C190" s="31"/>
      <c r="D190" s="6"/>
      <c r="E190" s="10" t="s">
        <v>198</v>
      </c>
      <c r="F190" s="7"/>
      <c r="G190" s="10" t="s">
        <v>216</v>
      </c>
    </row>
    <row r="191" spans="1:7" ht="15.5" x14ac:dyDescent="0.35">
      <c r="A191" s="34"/>
      <c r="B191" s="6"/>
      <c r="C191" s="31"/>
      <c r="D191" s="6"/>
      <c r="E191" s="10" t="s">
        <v>199</v>
      </c>
      <c r="F191" s="7"/>
      <c r="G191" s="10" t="s">
        <v>214</v>
      </c>
    </row>
    <row r="192" spans="1:7" ht="15.5" x14ac:dyDescent="0.35">
      <c r="A192" s="34"/>
      <c r="B192" s="6"/>
      <c r="C192" s="31"/>
      <c r="D192" s="6"/>
      <c r="E192" s="10" t="s">
        <v>200</v>
      </c>
      <c r="F192" s="7"/>
      <c r="G192" s="10" t="s">
        <v>215</v>
      </c>
    </row>
    <row r="193" spans="1:7" ht="15.5" x14ac:dyDescent="0.35">
      <c r="A193" s="34"/>
      <c r="B193" s="6"/>
      <c r="C193" s="31"/>
      <c r="D193" s="6"/>
      <c r="E193" s="10" t="s">
        <v>201</v>
      </c>
      <c r="F193" s="7"/>
      <c r="G193" s="10" t="s">
        <v>104</v>
      </c>
    </row>
    <row r="194" spans="1:7" ht="15.5" x14ac:dyDescent="0.35">
      <c r="A194" s="34"/>
      <c r="B194" s="6"/>
      <c r="C194" s="31"/>
      <c r="D194" s="6"/>
      <c r="E194" s="10"/>
      <c r="F194" s="7"/>
      <c r="G194" s="10"/>
    </row>
    <row r="195" spans="1:7" ht="15.5" x14ac:dyDescent="0.35">
      <c r="A195" s="34"/>
      <c r="B195" s="6"/>
      <c r="C195" s="31"/>
      <c r="D195" s="6"/>
      <c r="E195" s="10" t="s">
        <v>202</v>
      </c>
      <c r="F195" s="7"/>
      <c r="G195" s="10"/>
    </row>
    <row r="196" spans="1:7" ht="15.5" x14ac:dyDescent="0.35">
      <c r="A196" s="34"/>
      <c r="B196" s="6"/>
      <c r="C196" s="31"/>
      <c r="D196" s="6"/>
      <c r="E196" s="10" t="s">
        <v>203</v>
      </c>
      <c r="F196" s="7"/>
      <c r="G196" s="10" t="s">
        <v>216</v>
      </c>
    </row>
    <row r="197" spans="1:7" ht="15.5" x14ac:dyDescent="0.35">
      <c r="A197" s="34"/>
      <c r="B197" s="6"/>
      <c r="C197" s="31"/>
      <c r="D197" s="6"/>
      <c r="E197" s="10" t="s">
        <v>204</v>
      </c>
      <c r="F197" s="7"/>
      <c r="G197" s="10" t="s">
        <v>214</v>
      </c>
    </row>
    <row r="198" spans="1:7" ht="15.5" x14ac:dyDescent="0.35">
      <c r="A198" s="34"/>
      <c r="B198" s="6"/>
      <c r="C198" s="31"/>
      <c r="D198" s="6"/>
      <c r="E198" s="10" t="s">
        <v>205</v>
      </c>
      <c r="F198" s="7"/>
      <c r="G198" s="10" t="s">
        <v>215</v>
      </c>
    </row>
    <row r="199" spans="1:7" ht="15.5" x14ac:dyDescent="0.35">
      <c r="A199" s="34"/>
      <c r="B199" s="6"/>
      <c r="C199" s="31"/>
      <c r="D199" s="6"/>
      <c r="E199" s="10" t="s">
        <v>206</v>
      </c>
      <c r="F199" s="7"/>
      <c r="G199" s="10" t="s">
        <v>104</v>
      </c>
    </row>
    <row r="200" spans="1:7" ht="15.5" x14ac:dyDescent="0.35">
      <c r="A200" s="34"/>
      <c r="B200" s="6"/>
      <c r="C200" s="31"/>
      <c r="D200" s="6"/>
      <c r="E200" s="10"/>
      <c r="F200" s="7"/>
      <c r="G200" s="10"/>
    </row>
    <row r="201" spans="1:7" ht="15.5" x14ac:dyDescent="0.35">
      <c r="A201" s="34"/>
      <c r="B201" s="6"/>
      <c r="C201" s="31"/>
      <c r="D201" s="6"/>
      <c r="E201" s="10" t="s">
        <v>207</v>
      </c>
      <c r="F201" s="7"/>
      <c r="G201" s="10"/>
    </row>
    <row r="202" spans="1:7" ht="15.5" x14ac:dyDescent="0.35">
      <c r="A202" s="34"/>
      <c r="B202" s="6"/>
      <c r="C202" s="31"/>
      <c r="D202" s="6"/>
      <c r="E202" s="10" t="s">
        <v>208</v>
      </c>
      <c r="F202" s="7"/>
      <c r="G202" s="10" t="s">
        <v>216</v>
      </c>
    </row>
    <row r="203" spans="1:7" ht="15.5" x14ac:dyDescent="0.35">
      <c r="A203" s="34"/>
      <c r="B203" s="6"/>
      <c r="C203" s="31"/>
      <c r="D203" s="6"/>
      <c r="E203" s="10" t="s">
        <v>209</v>
      </c>
      <c r="F203" s="7"/>
      <c r="G203" s="10" t="s">
        <v>213</v>
      </c>
    </row>
    <row r="204" spans="1:7" ht="15.5" x14ac:dyDescent="0.35">
      <c r="A204" s="34"/>
      <c r="B204" s="6"/>
      <c r="C204" s="31"/>
      <c r="D204" s="6"/>
      <c r="E204" s="10" t="s">
        <v>210</v>
      </c>
      <c r="F204" s="7"/>
      <c r="G204" s="10" t="s">
        <v>214</v>
      </c>
    </row>
    <row r="205" spans="1:7" ht="15.5" x14ac:dyDescent="0.35">
      <c r="A205" s="34"/>
      <c r="B205" s="6"/>
      <c r="C205" s="31"/>
      <c r="D205" s="6"/>
      <c r="E205" s="10" t="s">
        <v>211</v>
      </c>
      <c r="F205" s="7"/>
      <c r="G205" s="10" t="s">
        <v>215</v>
      </c>
    </row>
    <row r="206" spans="1:7" ht="15.5" x14ac:dyDescent="0.35">
      <c r="A206" s="34"/>
      <c r="B206" s="6"/>
      <c r="C206" s="31"/>
      <c r="D206" s="6"/>
      <c r="E206" s="10" t="s">
        <v>212</v>
      </c>
      <c r="F206" s="7"/>
      <c r="G206" s="10" t="s">
        <v>104</v>
      </c>
    </row>
    <row r="207" spans="1:7" ht="15.5" x14ac:dyDescent="0.35">
      <c r="A207" s="15"/>
      <c r="B207" s="6"/>
      <c r="C207" s="12"/>
      <c r="D207" s="6"/>
      <c r="E207" s="10"/>
      <c r="F207" s="7"/>
      <c r="G207" s="10"/>
    </row>
    <row r="208" spans="1:7" s="4" customFormat="1" ht="2" customHeight="1" x14ac:dyDescent="0.35">
      <c r="A208" s="7"/>
      <c r="B208" s="6"/>
      <c r="C208" s="7"/>
      <c r="D208" s="6"/>
      <c r="E208" s="7"/>
      <c r="F208" s="7"/>
      <c r="G208" s="7"/>
    </row>
    <row r="209" spans="1:7" ht="15.5" x14ac:dyDescent="0.35">
      <c r="A209" s="34" t="s">
        <v>70</v>
      </c>
      <c r="B209" s="6"/>
      <c r="C209" s="31" t="s">
        <v>217</v>
      </c>
      <c r="D209" s="6"/>
      <c r="E209" s="32" t="s">
        <v>218</v>
      </c>
      <c r="F209" s="32"/>
      <c r="G209" s="32"/>
    </row>
    <row r="210" spans="1:7" ht="15.5" x14ac:dyDescent="0.35">
      <c r="A210" s="34"/>
      <c r="B210" s="6"/>
      <c r="C210" s="31"/>
      <c r="D210" s="6"/>
      <c r="E210" s="32" t="s">
        <v>265</v>
      </c>
      <c r="F210" s="32"/>
      <c r="G210" s="32"/>
    </row>
    <row r="211" spans="1:7" s="4" customFormat="1" ht="2" customHeight="1" x14ac:dyDescent="0.35">
      <c r="A211" s="34"/>
      <c r="B211" s="6"/>
      <c r="C211" s="31"/>
      <c r="D211" s="6"/>
      <c r="E211" s="7"/>
      <c r="F211" s="7"/>
      <c r="G211" s="7"/>
    </row>
    <row r="212" spans="1:7" ht="15.5" x14ac:dyDescent="0.35">
      <c r="A212" s="34"/>
      <c r="B212" s="6"/>
      <c r="C212" s="31"/>
      <c r="D212" s="6"/>
      <c r="E212" s="8" t="s">
        <v>6</v>
      </c>
      <c r="F212" s="9"/>
      <c r="G212" s="8" t="s">
        <v>8</v>
      </c>
    </row>
    <row r="213" spans="1:7" ht="31" x14ac:dyDescent="0.35">
      <c r="A213" s="34"/>
      <c r="B213" s="6"/>
      <c r="C213" s="31"/>
      <c r="D213" s="6"/>
      <c r="E213" s="10" t="s">
        <v>219</v>
      </c>
      <c r="F213" s="7"/>
      <c r="G213" s="10" t="s">
        <v>225</v>
      </c>
    </row>
    <row r="214" spans="1:7" ht="15.5" x14ac:dyDescent="0.35">
      <c r="A214" s="34"/>
      <c r="B214" s="6"/>
      <c r="C214" s="31"/>
      <c r="D214" s="6"/>
      <c r="E214" s="10" t="s">
        <v>220</v>
      </c>
      <c r="F214" s="7"/>
      <c r="G214" s="10" t="s">
        <v>222</v>
      </c>
    </row>
    <row r="215" spans="1:7" ht="48" customHeight="1" x14ac:dyDescent="0.35">
      <c r="A215" s="34"/>
      <c r="B215" s="6"/>
      <c r="C215" s="31"/>
      <c r="D215" s="6"/>
      <c r="E215" s="10" t="s">
        <v>221</v>
      </c>
      <c r="F215" s="7"/>
      <c r="G215" s="10" t="s">
        <v>223</v>
      </c>
    </row>
    <row r="216" spans="1:7" ht="15.5" x14ac:dyDescent="0.35">
      <c r="A216" s="15"/>
      <c r="B216" s="6"/>
      <c r="C216" s="12"/>
      <c r="D216" s="6"/>
      <c r="E216" s="10"/>
      <c r="F216" s="7"/>
      <c r="G216" s="10"/>
    </row>
    <row r="217" spans="1:7" s="4" customFormat="1" ht="2" customHeight="1" x14ac:dyDescent="0.35">
      <c r="A217" s="7"/>
      <c r="B217" s="6"/>
      <c r="C217" s="7"/>
      <c r="D217" s="6"/>
      <c r="E217" s="7"/>
      <c r="F217" s="7"/>
      <c r="G217" s="7"/>
    </row>
    <row r="218" spans="1:7" ht="31" customHeight="1" x14ac:dyDescent="0.35">
      <c r="A218" s="34" t="s">
        <v>268</v>
      </c>
      <c r="B218" s="6"/>
      <c r="C218" s="31" t="s">
        <v>224</v>
      </c>
      <c r="D218" s="6"/>
      <c r="E218" s="32" t="s">
        <v>226</v>
      </c>
      <c r="F218" s="32"/>
      <c r="G218" s="32"/>
    </row>
    <row r="219" spans="1:7" s="4" customFormat="1" ht="2" customHeight="1" x14ac:dyDescent="0.35">
      <c r="A219" s="34"/>
      <c r="B219" s="6"/>
      <c r="C219" s="31"/>
      <c r="D219" s="6"/>
      <c r="E219" s="7"/>
      <c r="F219" s="7"/>
      <c r="G219" s="7"/>
    </row>
    <row r="220" spans="1:7" ht="15.5" x14ac:dyDescent="0.35">
      <c r="A220" s="34"/>
      <c r="B220" s="6"/>
      <c r="C220" s="31"/>
      <c r="D220" s="6"/>
      <c r="E220" s="8" t="s">
        <v>6</v>
      </c>
      <c r="F220" s="9"/>
      <c r="G220" s="8" t="s">
        <v>8</v>
      </c>
    </row>
    <row r="221" spans="1:7" ht="15.5" x14ac:dyDescent="0.35">
      <c r="A221" s="34"/>
      <c r="B221" s="6"/>
      <c r="C221" s="31"/>
      <c r="D221" s="6"/>
      <c r="E221" s="10" t="s">
        <v>227</v>
      </c>
      <c r="F221" s="7"/>
      <c r="G221" s="10" t="s">
        <v>231</v>
      </c>
    </row>
    <row r="222" spans="1:7" ht="31" x14ac:dyDescent="0.35">
      <c r="A222" s="34"/>
      <c r="B222" s="6"/>
      <c r="C222" s="31"/>
      <c r="D222" s="6"/>
      <c r="E222" s="10" t="s">
        <v>230</v>
      </c>
      <c r="F222" s="7"/>
      <c r="G222" s="10" t="s">
        <v>229</v>
      </c>
    </row>
    <row r="223" spans="1:7" ht="15.5" x14ac:dyDescent="0.35">
      <c r="A223" s="34"/>
      <c r="B223" s="6"/>
      <c r="C223" s="31"/>
      <c r="D223" s="6"/>
      <c r="E223" s="10" t="s">
        <v>228</v>
      </c>
      <c r="F223" s="7"/>
      <c r="G223" s="10" t="s">
        <v>104</v>
      </c>
    </row>
    <row r="224" spans="1:7" ht="15.5" x14ac:dyDescent="0.35">
      <c r="A224" s="15"/>
      <c r="B224" s="6"/>
      <c r="C224" s="12"/>
      <c r="D224" s="6"/>
      <c r="E224" s="10"/>
      <c r="F224" s="7"/>
      <c r="G224" s="10"/>
    </row>
    <row r="225" spans="1:7" s="4" customFormat="1" ht="2" customHeight="1" x14ac:dyDescent="0.35">
      <c r="A225" s="7"/>
      <c r="B225" s="6"/>
      <c r="C225" s="7"/>
      <c r="D225" s="6"/>
      <c r="E225" s="7"/>
      <c r="F225" s="7"/>
      <c r="G225" s="7"/>
    </row>
    <row r="226" spans="1:7" ht="15.5" x14ac:dyDescent="0.35">
      <c r="A226" s="34" t="s">
        <v>267</v>
      </c>
      <c r="B226" s="6"/>
      <c r="C226" s="31" t="s">
        <v>232</v>
      </c>
      <c r="D226" s="6"/>
      <c r="E226" s="32" t="s">
        <v>233</v>
      </c>
      <c r="F226" s="32"/>
      <c r="G226" s="32"/>
    </row>
    <row r="227" spans="1:7" ht="15.5" x14ac:dyDescent="0.35">
      <c r="A227" s="34"/>
      <c r="B227" s="6"/>
      <c r="C227" s="31"/>
      <c r="D227" s="6"/>
      <c r="E227" s="32" t="s">
        <v>269</v>
      </c>
      <c r="F227" s="32"/>
      <c r="G227" s="32"/>
    </row>
    <row r="228" spans="1:7" s="4" customFormat="1" ht="2" customHeight="1" x14ac:dyDescent="0.35">
      <c r="A228" s="34"/>
      <c r="B228" s="6"/>
      <c r="C228" s="31"/>
      <c r="D228" s="6"/>
      <c r="E228" s="7"/>
      <c r="F228" s="7"/>
      <c r="G228" s="7"/>
    </row>
    <row r="229" spans="1:7" ht="15.5" x14ac:dyDescent="0.35">
      <c r="A229" s="34"/>
      <c r="B229" s="6"/>
      <c r="C229" s="31"/>
      <c r="D229" s="6"/>
      <c r="E229" s="8" t="s">
        <v>6</v>
      </c>
      <c r="F229" s="9"/>
      <c r="G229" s="8" t="s">
        <v>8</v>
      </c>
    </row>
    <row r="230" spans="1:7" ht="15.5" x14ac:dyDescent="0.35">
      <c r="A230" s="34"/>
      <c r="B230" s="6"/>
      <c r="C230" s="31"/>
      <c r="D230" s="6"/>
      <c r="E230" s="10" t="s">
        <v>234</v>
      </c>
      <c r="F230" s="7"/>
      <c r="G230" s="10" t="s">
        <v>231</v>
      </c>
    </row>
    <row r="231" spans="1:7" ht="31" x14ac:dyDescent="0.35">
      <c r="A231" s="34"/>
      <c r="B231" s="6"/>
      <c r="C231" s="31"/>
      <c r="D231" s="6"/>
      <c r="E231" s="10" t="s">
        <v>235</v>
      </c>
      <c r="F231" s="7"/>
      <c r="G231" s="10" t="s">
        <v>229</v>
      </c>
    </row>
    <row r="232" spans="1:7" ht="15.5" x14ac:dyDescent="0.35">
      <c r="A232" s="15"/>
      <c r="B232" s="6"/>
      <c r="C232" s="12"/>
      <c r="D232" s="6"/>
      <c r="E232" s="10"/>
      <c r="F232" s="7"/>
      <c r="G232" s="10"/>
    </row>
    <row r="233" spans="1:7" s="4" customFormat="1" ht="2" customHeight="1" x14ac:dyDescent="0.35">
      <c r="A233" s="7"/>
      <c r="B233" s="6"/>
      <c r="C233" s="7"/>
      <c r="D233" s="6"/>
      <c r="E233" s="7"/>
      <c r="F233" s="7"/>
      <c r="G233" s="7"/>
    </row>
    <row r="234" spans="1:7" ht="15.5" x14ac:dyDescent="0.35">
      <c r="A234" s="34" t="s">
        <v>71</v>
      </c>
      <c r="B234" s="6"/>
      <c r="C234" s="31" t="s">
        <v>232</v>
      </c>
      <c r="D234" s="6"/>
      <c r="E234" s="32" t="s">
        <v>236</v>
      </c>
      <c r="F234" s="32"/>
      <c r="G234" s="32"/>
    </row>
    <row r="235" spans="1:7" ht="15.5" x14ac:dyDescent="0.35">
      <c r="A235" s="34"/>
      <c r="B235" s="6"/>
      <c r="C235" s="31"/>
      <c r="D235" s="6"/>
      <c r="E235" s="32" t="s">
        <v>266</v>
      </c>
      <c r="F235" s="32"/>
      <c r="G235" s="32"/>
    </row>
    <row r="236" spans="1:7" s="4" customFormat="1" ht="2" customHeight="1" x14ac:dyDescent="0.35">
      <c r="A236" s="34"/>
      <c r="B236" s="6"/>
      <c r="C236" s="31"/>
      <c r="D236" s="6"/>
      <c r="E236" s="7"/>
      <c r="F236" s="7"/>
      <c r="G236" s="7"/>
    </row>
    <row r="237" spans="1:7" ht="15.5" x14ac:dyDescent="0.35">
      <c r="A237" s="34"/>
      <c r="B237" s="6"/>
      <c r="C237" s="31"/>
      <c r="D237" s="6"/>
      <c r="E237" s="8" t="s">
        <v>6</v>
      </c>
      <c r="F237" s="9"/>
      <c r="G237" s="8" t="s">
        <v>8</v>
      </c>
    </row>
    <row r="238" spans="1:7" ht="15.5" x14ac:dyDescent="0.35">
      <c r="A238" s="34"/>
      <c r="B238" s="6"/>
      <c r="C238" s="31"/>
      <c r="D238" s="6"/>
      <c r="E238" s="10" t="s">
        <v>237</v>
      </c>
      <c r="F238" s="7"/>
      <c r="G238" s="10" t="s">
        <v>242</v>
      </c>
    </row>
    <row r="239" spans="1:7" ht="15.5" x14ac:dyDescent="0.35">
      <c r="A239" s="34"/>
      <c r="B239" s="6"/>
      <c r="C239" s="31"/>
      <c r="D239" s="6"/>
      <c r="E239" s="10" t="s">
        <v>238</v>
      </c>
      <c r="F239" s="7"/>
      <c r="G239" s="10" t="s">
        <v>241</v>
      </c>
    </row>
    <row r="240" spans="1:7" ht="31" x14ac:dyDescent="0.35">
      <c r="A240" s="34"/>
      <c r="B240" s="6"/>
      <c r="C240" s="31"/>
      <c r="D240" s="6"/>
      <c r="E240" s="10" t="s">
        <v>239</v>
      </c>
      <c r="F240" s="7"/>
      <c r="G240" s="10" t="s">
        <v>240</v>
      </c>
    </row>
    <row r="241" spans="1:7" ht="15.5" x14ac:dyDescent="0.35">
      <c r="A241" s="15"/>
      <c r="B241" s="6"/>
      <c r="C241" s="12"/>
      <c r="D241" s="6"/>
      <c r="E241" s="10"/>
      <c r="F241" s="7"/>
      <c r="G241" s="10"/>
    </row>
    <row r="242" spans="1:7" s="4" customFormat="1" ht="2" customHeight="1" x14ac:dyDescent="0.35">
      <c r="A242" s="7"/>
      <c r="B242" s="6"/>
      <c r="C242" s="7"/>
      <c r="D242" s="6"/>
      <c r="E242" s="7"/>
      <c r="F242" s="7"/>
      <c r="G242" s="7"/>
    </row>
    <row r="243" spans="1:7" ht="15.5" x14ac:dyDescent="0.35">
      <c r="A243" s="34" t="s">
        <v>72</v>
      </c>
      <c r="B243" s="6"/>
      <c r="C243" s="31" t="s">
        <v>243</v>
      </c>
      <c r="D243" s="6"/>
      <c r="E243" s="32" t="s">
        <v>244</v>
      </c>
      <c r="F243" s="32"/>
      <c r="G243" s="32"/>
    </row>
    <row r="244" spans="1:7" ht="15.5" x14ac:dyDescent="0.35">
      <c r="A244" s="34"/>
      <c r="B244" s="6"/>
      <c r="C244" s="31"/>
      <c r="D244" s="6"/>
      <c r="E244" s="32" t="s">
        <v>266</v>
      </c>
      <c r="F244" s="32"/>
      <c r="G244" s="32"/>
    </row>
    <row r="245" spans="1:7" s="4" customFormat="1" ht="2" customHeight="1" x14ac:dyDescent="0.35">
      <c r="A245" s="34"/>
      <c r="B245" s="6"/>
      <c r="C245" s="31"/>
      <c r="D245" s="6"/>
      <c r="E245" s="7"/>
      <c r="F245" s="7"/>
      <c r="G245" s="7"/>
    </row>
    <row r="246" spans="1:7" ht="15.5" x14ac:dyDescent="0.35">
      <c r="A246" s="34"/>
      <c r="B246" s="6"/>
      <c r="C246" s="31"/>
      <c r="D246" s="6"/>
      <c r="E246" s="8" t="s">
        <v>6</v>
      </c>
      <c r="F246" s="9"/>
      <c r="G246" s="8" t="s">
        <v>8</v>
      </c>
    </row>
    <row r="247" spans="1:7" ht="15.5" x14ac:dyDescent="0.35">
      <c r="A247" s="34"/>
      <c r="B247" s="6"/>
      <c r="C247" s="31"/>
      <c r="D247" s="6"/>
      <c r="E247" s="10" t="s">
        <v>245</v>
      </c>
      <c r="F247" s="7"/>
      <c r="G247" s="10" t="s">
        <v>249</v>
      </c>
    </row>
    <row r="248" spans="1:7" ht="15.5" x14ac:dyDescent="0.35">
      <c r="A248" s="34"/>
      <c r="B248" s="6"/>
      <c r="C248" s="31"/>
      <c r="D248" s="6"/>
      <c r="E248" s="10" t="s">
        <v>246</v>
      </c>
      <c r="F248" s="7"/>
      <c r="G248" s="10" t="s">
        <v>251</v>
      </c>
    </row>
    <row r="249" spans="1:7" ht="15.5" x14ac:dyDescent="0.35">
      <c r="A249" s="34"/>
      <c r="B249" s="6"/>
      <c r="C249" s="31"/>
      <c r="D249" s="6"/>
      <c r="E249" s="10" t="s">
        <v>247</v>
      </c>
      <c r="F249" s="7"/>
      <c r="G249" s="10" t="s">
        <v>250</v>
      </c>
    </row>
    <row r="250" spans="1:7" ht="31" x14ac:dyDescent="0.35">
      <c r="A250" s="34"/>
      <c r="B250" s="6"/>
      <c r="C250" s="31"/>
      <c r="D250" s="6"/>
      <c r="E250" s="10" t="s">
        <v>248</v>
      </c>
      <c r="F250" s="7"/>
      <c r="G250" s="10" t="s">
        <v>252</v>
      </c>
    </row>
    <row r="251" spans="1:7" x14ac:dyDescent="0.35">
      <c r="A251" s="3"/>
      <c r="C251" s="3"/>
      <c r="E251" s="3"/>
      <c r="G251" s="3"/>
    </row>
  </sheetData>
  <mergeCells count="113">
    <mergeCell ref="E185:G185"/>
    <mergeCell ref="E210:G210"/>
    <mergeCell ref="E209:G209"/>
    <mergeCell ref="E244:G244"/>
    <mergeCell ref="E243:G243"/>
    <mergeCell ref="E234:G234"/>
    <mergeCell ref="E235:G235"/>
    <mergeCell ref="E227:G227"/>
    <mergeCell ref="E226:G226"/>
    <mergeCell ref="E218:G218"/>
    <mergeCell ref="E141:G141"/>
    <mergeCell ref="E142:G142"/>
    <mergeCell ref="E143:G143"/>
    <mergeCell ref="E151:G151"/>
    <mergeCell ref="E152:G152"/>
    <mergeCell ref="E160:G160"/>
    <mergeCell ref="E119:G119"/>
    <mergeCell ref="E120:G120"/>
    <mergeCell ref="E123:G123"/>
    <mergeCell ref="E122:G122"/>
    <mergeCell ref="E132:G132"/>
    <mergeCell ref="E133:G133"/>
    <mergeCell ref="E102:G102"/>
    <mergeCell ref="E116:G116"/>
    <mergeCell ref="E117:G117"/>
    <mergeCell ref="E118:G118"/>
    <mergeCell ref="E110:G110"/>
    <mergeCell ref="E111:G111"/>
    <mergeCell ref="E112:G112"/>
    <mergeCell ref="E113:G113"/>
    <mergeCell ref="E114:G114"/>
    <mergeCell ref="E98:G98"/>
    <mergeCell ref="E70:G70"/>
    <mergeCell ref="E72:G72"/>
    <mergeCell ref="E73:G73"/>
    <mergeCell ref="E74:G74"/>
    <mergeCell ref="E75:G75"/>
    <mergeCell ref="E76:G76"/>
    <mergeCell ref="E99:G99"/>
    <mergeCell ref="E100:G100"/>
    <mergeCell ref="E64:G64"/>
    <mergeCell ref="E66:G66"/>
    <mergeCell ref="E67:G67"/>
    <mergeCell ref="E68:G68"/>
    <mergeCell ref="E69:G69"/>
    <mergeCell ref="E77:G77"/>
    <mergeCell ref="E79:G79"/>
    <mergeCell ref="E87:G87"/>
    <mergeCell ref="E97:G97"/>
    <mergeCell ref="A243:A250"/>
    <mergeCell ref="C243:C250"/>
    <mergeCell ref="E3:G3"/>
    <mergeCell ref="E18:G19"/>
    <mergeCell ref="E14:G14"/>
    <mergeCell ref="E15:G16"/>
    <mergeCell ref="E11:G12"/>
    <mergeCell ref="E21:G21"/>
    <mergeCell ref="E39:G39"/>
    <mergeCell ref="E52:G52"/>
    <mergeCell ref="A218:A223"/>
    <mergeCell ref="C218:C223"/>
    <mergeCell ref="A226:A231"/>
    <mergeCell ref="C226:C231"/>
    <mergeCell ref="A234:A240"/>
    <mergeCell ref="C234:C240"/>
    <mergeCell ref="A160:A182"/>
    <mergeCell ref="C160:C182"/>
    <mergeCell ref="A185:A206"/>
    <mergeCell ref="C185:C206"/>
    <mergeCell ref="A209:A215"/>
    <mergeCell ref="C209:C215"/>
    <mergeCell ref="A132:A138"/>
    <mergeCell ref="C132:C138"/>
    <mergeCell ref="A141:A148"/>
    <mergeCell ref="C141:C148"/>
    <mergeCell ref="A151:A157"/>
    <mergeCell ref="C151:C157"/>
    <mergeCell ref="A110:A113"/>
    <mergeCell ref="C110:C113"/>
    <mergeCell ref="A116:A119"/>
    <mergeCell ref="C116:C119"/>
    <mergeCell ref="A122:A129"/>
    <mergeCell ref="C122:C129"/>
    <mergeCell ref="A87:A94"/>
    <mergeCell ref="C87:C94"/>
    <mergeCell ref="A97:A99"/>
    <mergeCell ref="C97:C99"/>
    <mergeCell ref="A102:A107"/>
    <mergeCell ref="C102:C107"/>
    <mergeCell ref="A66:A69"/>
    <mergeCell ref="C66:C69"/>
    <mergeCell ref="A72:A76"/>
    <mergeCell ref="C72:C76"/>
    <mergeCell ref="A79:A84"/>
    <mergeCell ref="C79:C84"/>
    <mergeCell ref="C39:C49"/>
    <mergeCell ref="A39:A49"/>
    <mergeCell ref="A52:A57"/>
    <mergeCell ref="C52:C57"/>
    <mergeCell ref="C60:C63"/>
    <mergeCell ref="A60:A63"/>
    <mergeCell ref="E1:G1"/>
    <mergeCell ref="C3:C9"/>
    <mergeCell ref="A3:A9"/>
    <mergeCell ref="A14:A16"/>
    <mergeCell ref="C14:C15"/>
    <mergeCell ref="A21:A36"/>
    <mergeCell ref="C21:C36"/>
    <mergeCell ref="E60:G60"/>
    <mergeCell ref="E61:G61"/>
    <mergeCell ref="E62:G62"/>
    <mergeCell ref="E63:G63"/>
    <mergeCell ref="A13:XF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 Descriptions</vt:lpstr>
      <vt:lpstr>Failure Descriptions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van der Werf</dc:creator>
  <cp:lastModifiedBy>Job van der Werf</cp:lastModifiedBy>
  <dcterms:created xsi:type="dcterms:W3CDTF">2022-05-03T12:55:37Z</dcterms:created>
  <dcterms:modified xsi:type="dcterms:W3CDTF">2022-05-10T19:47:17Z</dcterms:modified>
</cp:coreProperties>
</file>